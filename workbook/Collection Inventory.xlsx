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filterPrivacy="1" defaultThemeVersion="202300"/>
  <xr:revisionPtr revIDLastSave="0" documentId="8_{5207168E-2CA0-4FCF-BE09-52493A17C63F}" xr6:coauthVersionLast="47" xr6:coauthVersionMax="47" xr10:uidLastSave="{00000000-0000-0000-0000-000000000000}"/>
  <bookViews>
    <workbookView xWindow="-98" yWindow="-98" windowWidth="38596" windowHeight="21075" xr2:uid="{3BCCB838-ABD0-4216-9FAF-8019AECC19B0}"/>
  </bookViews>
  <sheets>
    <sheet name="How-to" sheetId="1" r:id="rId1"/>
    <sheet name="Search" sheetId="2" r:id="rId2"/>
    <sheet name="Art" sheetId="3" r:id="rId3"/>
    <sheet name="Books" sheetId="4" r:id="rId4"/>
    <sheet name="Items" sheetId="5" r:id="rId5"/>
    <sheet name="Misc" sheetId="6" r:id="rId6"/>
    <sheet name="ISBN Lookup" sheetId="7" r:id="rId7"/>
    <sheet name="Valuations" sheetId="8" r:id="rId8"/>
    <sheet name="Lists" sheetId="9" r:id="rId9"/>
    <sheet name="_Template" sheetId="10" r:id="rId10"/>
  </sheets>
  <definedNames>
    <definedName name="ExternalData_1" localSheetId="6" hidden="1">'ISBN Lookup'!$A$1:$G$2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A11" i="2" l="1" a="1"/>
  <c r="E2" i="9" a="1"/>
  <c r="E3" i="9" a="1"/>
  <c r="E4" i="9" a="1"/>
  <c r="E5" i="9" a="1"/>
  <c r="E3" i="2" l="1"/>
  <c r="E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885B4E-1C0A-463D-B8C3-C880C4E347BE}" keepAlive="1" name="Connection" type="5" refreshedVersion="8" saveData="1">
    <dbPr connection="Provider=Microsoft.Mashup.OleDb.1;Data Source=$Workbook$;Location=&quot;ISBN Lookup&quot;;Extended Properties=&quot;&quot;" command="SELECT * FROM [ISBN Lookup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<sst xmlns="http://schemas.openxmlformats.org/spreadsheetml/2006/main" count="266" uniqueCount="133">
  <si>
    <t>Name</t>
  </si>
  <si>
    <t>Tab</t>
  </si>
  <si>
    <t>Table</t>
  </si>
  <si>
    <t>Prefix</t>
  </si>
  <si>
    <t>Next Item No</t>
  </si>
  <si>
    <t>Art</t>
  </si>
  <si>
    <t>tblArt</t>
  </si>
  <si>
    <t>ART</t>
  </si>
  <si>
    <t>Books</t>
  </si>
  <si>
    <t>tblBooks</t>
  </si>
  <si>
    <t>BK</t>
  </si>
  <si>
    <t>Items</t>
  </si>
  <si>
    <t>tblItems</t>
  </si>
  <si>
    <t>ITM</t>
  </si>
  <si>
    <t>Misc</t>
  </si>
  <si>
    <t>tblMisc</t>
  </si>
  <si>
    <t>MSC</t>
  </si>
  <si>
    <t>Column</t>
  </si>
  <si>
    <t>List</t>
  </si>
  <si>
    <t>Acquired From Type</t>
  </si>
  <si>
    <t>tblAcquiredFrom</t>
  </si>
  <si>
    <t>Value Basis</t>
  </si>
  <si>
    <t>tblValueBasis</t>
  </si>
  <si>
    <t>Condition</t>
  </si>
  <si>
    <t>tblCondition</t>
  </si>
  <si>
    <t>Status</t>
  </si>
  <si>
    <t>tblStatus</t>
  </si>
  <si>
    <t>Units</t>
  </si>
  <si>
    <t>tblUnits</t>
  </si>
  <si>
    <t>Signed</t>
  </si>
  <si>
    <t>tblYesNo</t>
  </si>
  <si>
    <t>Framed</t>
  </si>
  <si>
    <t>Certificate of Authenticity</t>
  </si>
  <si>
    <t>Dust Jacket</t>
  </si>
  <si>
    <t>Binding</t>
  </si>
  <si>
    <t>tblBinding</t>
  </si>
  <si>
    <t>Lookup Status</t>
  </si>
  <si>
    <t>tblLookupStatus</t>
  </si>
  <si>
    <t>Suggested Category</t>
  </si>
  <si>
    <t>tblCategories[Name]</t>
  </si>
  <si>
    <t>Artist</t>
  </si>
  <si>
    <t>Auction</t>
  </si>
  <si>
    <t>Gallery</t>
  </si>
  <si>
    <t>Dealer</t>
  </si>
  <si>
    <t>Retail</t>
  </si>
  <si>
    <t>Online</t>
  </si>
  <si>
    <t>Gift</t>
  </si>
  <si>
    <t>Inheritance</t>
  </si>
  <si>
    <t>Found</t>
  </si>
  <si>
    <t>Other</t>
  </si>
  <si>
    <t>Owner estimate</t>
  </si>
  <si>
    <t>Appraisal</t>
  </si>
  <si>
    <t>Auction comparables</t>
  </si>
  <si>
    <t>Insurance schedule</t>
  </si>
  <si>
    <t>Excellent</t>
  </si>
  <si>
    <t>Good</t>
  </si>
  <si>
    <t>Fair</t>
  </si>
  <si>
    <t>Poor</t>
  </si>
  <si>
    <t>Owned</t>
  </si>
  <si>
    <t>Loaned</t>
  </si>
  <si>
    <t>Sold</t>
  </si>
  <si>
    <t>Gifted</t>
  </si>
  <si>
    <t>Donated</t>
  </si>
  <si>
    <t>in</t>
  </si>
  <si>
    <t>cm</t>
  </si>
  <si>
    <t>Yes or No</t>
  </si>
  <si>
    <t>Yes</t>
  </si>
  <si>
    <t>No</t>
  </si>
  <si>
    <t>Hardcover</t>
  </si>
  <si>
    <t>Paperback</t>
  </si>
  <si>
    <t>Leather</t>
  </si>
  <si>
    <t>Spiral</t>
  </si>
  <si>
    <t>Not found</t>
  </si>
  <si>
    <t>Edited</t>
  </si>
  <si>
    <t>Item No</t>
  </si>
  <si>
    <t>Creator</t>
  </si>
  <si>
    <t>Description</t>
  </si>
  <si>
    <t>Acquired From Name</t>
  </si>
  <si>
    <t>Acquired Date</t>
  </si>
  <si>
    <t>Purchase Price</t>
  </si>
  <si>
    <t>Estimated Value</t>
  </si>
  <si>
    <t>Value Date</t>
  </si>
  <si>
    <t>Location</t>
  </si>
  <si>
    <t>Tags</t>
  </si>
  <si>
    <t>Notes</t>
  </si>
  <si>
    <t>Entered Via</t>
  </si>
  <si>
    <t>Last Updated</t>
  </si>
  <si>
    <t>Medium</t>
  </si>
  <si>
    <t>Dimensions (H x W x D)</t>
  </si>
  <si>
    <t>Year Created</t>
  </si>
  <si>
    <t>Signature Location</t>
  </si>
  <si>
    <t>Edition</t>
  </si>
  <si>
    <t>ISBN</t>
  </si>
  <si>
    <t>Author</t>
  </si>
  <si>
    <t>Publisher</t>
  </si>
  <si>
    <t>Publication Year</t>
  </si>
  <si>
    <t>Printing</t>
  </si>
  <si>
    <t>Pages</t>
  </si>
  <si>
    <t>Signed or Inscribed</t>
  </si>
  <si>
    <t>Maker or Brand</t>
  </si>
  <si>
    <t>Model</t>
  </si>
  <si>
    <t>Serial Number</t>
  </si>
  <si>
    <t>Material</t>
  </si>
  <si>
    <t>Era</t>
  </si>
  <si>
    <t>Title</t>
  </si>
  <si>
    <t>Search the whole collection</t>
  </si>
  <si>
    <t>Search for</t>
  </si>
  <si>
    <t>Category</t>
  </si>
  <si>
    <t>Location contains</t>
  </si>
  <si>
    <t>Min value</t>
  </si>
  <si>
    <t>Max value</t>
  </si>
  <si>
    <t>Matches</t>
  </si>
  <si>
    <t>Total estimated value</t>
  </si>
  <si>
    <t>COLLECTION INVENTORY - HOW TO USE THIS WORKBOOK</t>
  </si>
  <si>
    <t>ADDING ITEMS</t>
  </si>
  <si>
    <t xml:space="preserve">  * Type into the table on the Art, Books, Items or Misc tab: start on the first empty row under the table and it grows automatically.</t>
  </si>
  <si>
    <t xml:space="preserve">  * Or use the web form, which writes into the same tables.</t>
  </si>
  <si>
    <t xml:space="preserve">  * Every column is optional. Item No: copy the next number from the Lists tab (Next Item No), or leave it blank and use "Tidy workbook" in the web form.</t>
  </si>
  <si>
    <t>ISBN LOOKUP (books)</t>
  </si>
  <si>
    <t xml:space="preserve">  * Type the ISBN on the Books tab, then Data &gt; Refresh All (Excel desktop). Details from Open Library appear on the ISBN Lookup tab.</t>
  </si>
  <si>
    <t xml:space="preserve">  * First refresh only: if Excel asks about privacy levels, set both sources to Public, or File &gt; Options &gt; Trust Center &gt; Privacy levels: Ignore for this workbook.</t>
  </si>
  <si>
    <t xml:space="preserve">  * The web form "Tidy workbook" action copies looked-up details into blank cells on the Books tab.</t>
  </si>
  <si>
    <t>SEARCH</t>
  </si>
  <si>
    <t xml:space="preserve">  * Search tab: type a word in B2 (and optional filters in B3:B7). Matching items from every category list below row 10.</t>
  </si>
  <si>
    <t>MOVING AN ITEM TO ANOTHER CATEGORY (e.g. out of Misc)</t>
  </si>
  <si>
    <t xml:space="preserve">  * Cut the row, paste it as a new row at the bottom of the other table, clear Item No and assign the new number. Note the old number in Notes.</t>
  </si>
  <si>
    <t>ADDING A CATEGORY</t>
  </si>
  <si>
    <t xml:space="preserve">  1. Right-click the _Template tab &gt; Move or Copy &gt; Create a copy. Rename the tab (e.g. Coins).</t>
  </si>
  <si>
    <t xml:space="preserve">  2. Table Design &gt; Table Name: rename the table (e.g. tblCoins). Add the category's own columns after Last Updated.</t>
  </si>
  <si>
    <t xml:space="preserve">  3. Lists tab: add a row to tblCategories (Name, Tab, Table, Prefix).</t>
  </si>
  <si>
    <t xml:space="preserve">  4. Search tab, cell A11: add tblCoins[[Item No]:[Notes]] to the first VSTACK and EXPAND("Coins",ROWS(tblCoins),1,"Coins") to the second.</t>
  </si>
  <si>
    <t xml:space="preserve">  5. Dropdowns for new columns: add a list table on the Lists tab and a row in tblDropdowns.</t>
  </si>
  <si>
    <t>DO NOT rename the shared columns (Item No through Last Updated) or the tables; the web form and Search rely on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</si>
</sst>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&quot;$&quot;#,##0.00"/>
    <numFmt numFmtId="166" formatCode="yyyy\-mm\-dd\ hh:mm"/>
    <numFmt numFmtId="167" formatCode="&quot;$&quot;#,##0"/>
  </numFmts>
  <fonts count="5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1"/>
      <color rgb="FFFFFFFF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1F3F7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/>
    <xf numFmtId="0" fontId="2" fillId="0" borderId="0" xfId="0" applyFont="1"/>
    <xf numFmtId="0" fontId="0" fillId="2" borderId="1" xfId="0" applyFill="1" applyBorder="1"/>
    <xf numFmtId="167" fontId="0" fillId="2" borderId="1" xfId="0" applyNumberFormat="1" applyFill="1" applyBorder="1"/>
    <xf numFmtId="0" fontId="3" fillId="0" borderId="0" xfId="0" applyFont="1"/>
    <xf numFmtId="0" fontId="4" fillId="3" borderId="0" xfId="0" applyFont="1" applyFill="1"/>
  </cellXfs>
  <cellStyles count="1">
    <cellStyle name="Normal" xfId="0" builtinId="0"/>
  </cellStyles>
  <dxfs count="41">
    <dxf>
      <numFmt numFmtId="165" formatCode="&quot;$&quot;#,##0.00"/>
    </dxf>
    <dxf>
      <numFmt numFmtId="164" formatCode="yyyy\-mm\-dd"/>
    </dxf>
    <dxf>
      <alignment horizontal="general" vertical="bottom" textRotation="0" wrapText="0" indent="0" justifyLastLine="0" shrinkToFit="0" readingOrder="0"/>
    </dxf>
    <dxf>
      <numFmt numFmtId="166" formatCode="yyyy\-mm\-dd\ hh:mm"/>
    </dxf>
    <dxf>
      <numFmt numFmtId="164" formatCode="yyyy\-mm\-dd"/>
    </dxf>
    <dxf>
      <numFmt numFmtId="165" formatCode="&quot;$&quot;#,##0.00"/>
    </dxf>
    <dxf>
      <numFmt numFmtId="165" formatCode="&quot;$&quot;#,##0.00"/>
    </dxf>
    <dxf>
      <numFmt numFmtId="164" formatCode="yyyy\-mm\-dd"/>
    </dxf>
    <dxf>
      <numFmt numFmtId="30" formatCode="@"/>
    </dxf>
    <dxf>
      <alignment horizontal="general" vertical="bottom" textRotation="0" wrapText="0" indent="0" justifyLastLine="0" shrinkToFit="0" readingOrder="0"/>
    </dxf>
    <dxf>
      <numFmt numFmtId="166" formatCode="yyyy\-mm\-dd\ hh:mm"/>
    </dxf>
    <dxf>
      <numFmt numFmtId="164" formatCode="yyyy\-mm\-dd"/>
    </dxf>
    <dxf>
      <numFmt numFmtId="165" formatCode="&quot;$&quot;#,##0.00"/>
    </dxf>
    <dxf>
      <numFmt numFmtId="165" formatCode="&quot;$&quot;#,##0.00"/>
    </dxf>
    <dxf>
      <numFmt numFmtId="164" formatCode="yyyy\-mm\-dd"/>
    </dxf>
    <dxf>
      <numFmt numFmtId="30" formatCode="@"/>
    </dxf>
    <dxf>
      <alignment horizontal="general" vertical="bottom" textRotation="0" wrapText="0" indent="0" justifyLastLine="0" shrinkToFit="0" readingOrder="0"/>
    </dxf>
    <dxf>
      <numFmt numFmtId="30" formatCode="@"/>
    </dxf>
    <dxf>
      <numFmt numFmtId="166" formatCode="yyyy\-mm\-dd\ hh:mm"/>
    </dxf>
    <dxf>
      <numFmt numFmtId="164" formatCode="yyyy\-mm\-dd"/>
    </dxf>
    <dxf>
      <numFmt numFmtId="165" formatCode="&quot;$&quot;#,##0.00"/>
    </dxf>
    <dxf>
      <numFmt numFmtId="165" formatCode="&quot;$&quot;#,##0.00"/>
    </dxf>
    <dxf>
      <numFmt numFmtId="164" formatCode="yyyy\-mm\-dd"/>
    </dxf>
    <dxf>
      <numFmt numFmtId="30" formatCode="@"/>
    </dxf>
    <dxf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166" formatCode="yyyy\-mm\-dd\ hh:mm"/>
    </dxf>
    <dxf>
      <numFmt numFmtId="164" formatCode="yyyy\-mm\-dd"/>
    </dxf>
    <dxf>
      <numFmt numFmtId="165" formatCode="&quot;$&quot;#,##0.00"/>
    </dxf>
    <dxf>
      <numFmt numFmtId="165" formatCode="&quot;$&quot;#,##0.00"/>
    </dxf>
    <dxf>
      <numFmt numFmtId="164" formatCode="yyyy\-mm\-dd"/>
    </dxf>
    <dxf>
      <numFmt numFmtId="30" formatCode="@"/>
    </dxf>
    <dxf>
      <alignment horizontal="general" vertical="bottom" textRotation="0" wrapText="0" indent="0" justifyLastLine="0" shrinkToFit="0" readingOrder="0"/>
    </dxf>
    <dxf>
      <numFmt numFmtId="30" formatCode="@"/>
    </dxf>
    <dxf>
      <numFmt numFmtId="166" formatCode="yyyy\-mm\-dd\ hh:mm"/>
    </dxf>
    <dxf>
      <numFmt numFmtId="164" formatCode="yyyy\-mm\-dd"/>
    </dxf>
    <dxf>
      <numFmt numFmtId="165" formatCode="&quot;$&quot;#,##0.00"/>
    </dxf>
    <dxf>
      <numFmt numFmtId="165" formatCode="&quot;$&quot;#,##0.00"/>
    </dxf>
    <dxf>
      <numFmt numFmtId="164" formatCode="yyyy\-mm\-dd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6F1E5A59-118D-4400-923F-93BD9708D597}" autoFormatId="0" applyNumberFormats="0" applyBorderFormats="0" applyFontFormats="1" applyPatternFormats="1" applyAlignmentFormats="0" applyWidthHeightFormats="0">
  <queryTableRefresh nextId="8">
    <queryTableFields count="7">
      <queryTableField id="1" name="ISBN" tableColumnId="8"/>
      <queryTableField id="2" name="Title" tableColumnId="9"/>
      <queryTableField id="3" name="Author" tableColumnId="10"/>
      <queryTableField id="4" name="Publisher" tableColumnId="11"/>
      <queryTableField id="5" name="Publication Year" tableColumnId="12"/>
      <queryTableField id="6" name="Pages" tableColumnId="13"/>
      <queryTableField id="7" name="Lookup Status" tableColumnId="14"/>
    </queryTableFields>
  </queryTableRefresh>
</queryTable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C65A2F2-F4DB-44F0-9B3C-E73856670066}" name="tblArt" displayName="tblArt" ref="A1:AA2" totalsRowShown="0" headerRowDxfId="33">
  <autoFilter ref="A1:AA2" xr:uid="{2C65A2F2-F4DB-44F0-9B3C-E73856670066}"/>
  <tableColumns count="27">
    <tableColumn id="1" xr3:uid="{D1814E1D-32C6-4D14-A2F1-A0E8B9E7F9FF}" name="Item No" dataDxfId="40"/>
    <tableColumn id="2" xr3:uid="{D6C888C7-71D0-4A30-B3D0-383BF9C2BE74}" name="Name"/>
    <tableColumn id="3" xr3:uid="{57DB7093-7060-46C4-A4A1-EA5AE043D9BA}" name="Creator"/>
    <tableColumn id="4" xr3:uid="{9B882972-3D37-4363-8486-51DF805A2FF4}" name="Description"/>
    <tableColumn id="5" xr3:uid="{3FCB6FF0-2747-41AF-BCEA-E2CBB2CF9193}" name="Acquired From Type"/>
    <tableColumn id="6" xr3:uid="{848C098F-32E6-4370-AF00-1FCEA2C87810}" name="Acquired From Name"/>
    <tableColumn id="7" xr3:uid="{104685BB-675D-4256-A55F-D145DE4D0EB1}" name="Acquired Date" dataDxfId="39"/>
    <tableColumn id="8" xr3:uid="{9C1B33CD-18D0-4C41-85F6-55A7EFCC48AE}" name="Purchase Price" dataDxfId="38"/>
    <tableColumn id="9" xr3:uid="{4B0438F8-5027-4B67-A843-3040A58655F0}" name="Estimated Value" dataDxfId="37"/>
    <tableColumn id="10" xr3:uid="{F4734273-4136-41F6-83F1-B6630F1C6F0B}" name="Value Basis"/>
    <tableColumn id="11" xr3:uid="{84528F66-B146-4307-98AF-B5F4403A0909}" name="Value Date" dataDxfId="36"/>
    <tableColumn id="12" xr3:uid="{D9FAED6C-9070-44FF-A1F7-8217FA142FD1}" name="Location"/>
    <tableColumn id="13" xr3:uid="{7FFBAA5A-8DDC-496E-AC49-97A71413F944}" name="Condition"/>
    <tableColumn id="14" xr3:uid="{CDE31F62-DAFE-4A11-8EC2-49D44AB230F2}" name="Status"/>
    <tableColumn id="15" xr3:uid="{34463E40-4EFB-4056-A6F6-0D8F4585F7BD}" name="Tags"/>
    <tableColumn id="16" xr3:uid="{E1B74DD4-DF73-404E-A49A-DCEA56FAF94B}" name="Notes"/>
    <tableColumn id="17" xr3:uid="{13A0C962-BDDE-4A70-B2F4-AC68A35AD2D7}" name="Entered Via"/>
    <tableColumn id="18" xr3:uid="{23C78A63-E963-4B40-9D60-AFB3F5EDD6C9}" name="Last Updated" dataDxfId="35"/>
    <tableColumn id="19" xr3:uid="{EDADDF3F-3623-415A-8900-2A455629014E}" name="Medium"/>
    <tableColumn id="20" xr3:uid="{2D390B44-5CC3-4E3A-B12F-D7D7E4B55EFD}" name="Dimensions (H x W x D)"/>
    <tableColumn id="21" xr3:uid="{68AA48A1-3257-47BB-9CE3-629BF4E42E53}" name="Units"/>
    <tableColumn id="22" xr3:uid="{131D488E-C347-4C8B-9FA6-52506549593C}" name="Year Created" dataDxfId="34"/>
    <tableColumn id="23" xr3:uid="{80E7EC79-9C96-4411-A6A7-A62B02F242BB}" name="Signed"/>
    <tableColumn id="24" xr3:uid="{8FA3B6DB-9BC6-4F21-BEA2-0B57619C6F8F}" name="Signature Location"/>
    <tableColumn id="25" xr3:uid="{BE8185B6-176E-4C6C-BD05-B8D52B8584D3}" name="Edition"/>
    <tableColumn id="26" xr3:uid="{03543365-735F-4BDE-8C79-CCCB89A7B296}" name="Framed"/>
    <tableColumn id="27" xr3:uid="{0BD44FD1-3F67-4CCC-8893-07FCF352FFA4}" name="Certificate of Authentic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C5905A3-691D-4349-B09F-3AFF84F2DB22}" name="tblBooks" displayName="tblBooks" ref="A1:AC2" totalsRowShown="0" headerRowDxfId="24">
  <autoFilter ref="A1:AC2" xr:uid="{4C5905A3-691D-4349-B09F-3AFF84F2DB22}"/>
  <tableColumns count="29">
    <tableColumn id="1" xr3:uid="{94B30CA7-502A-4EAA-87BF-9C683110C0BD}" name="Item No" dataDxfId="32"/>
    <tableColumn id="2" xr3:uid="{EE166B17-A393-44BC-8A67-5DFB34940EC3}" name="Name"/>
    <tableColumn id="3" xr3:uid="{43ED6F8A-C8EC-469C-94E3-B0A709368E46}" name="Creator"/>
    <tableColumn id="4" xr3:uid="{E347BFC5-AE1E-44A3-BF11-A641A662B474}" name="Description"/>
    <tableColumn id="5" xr3:uid="{FB0F0252-C215-454D-A26A-4F74284A26F8}" name="Acquired From Type"/>
    <tableColumn id="6" xr3:uid="{73000910-A273-427F-923C-15F08D431EE8}" name="Acquired From Name"/>
    <tableColumn id="7" xr3:uid="{8470AEBC-D626-4C64-9065-697C23A73245}" name="Acquired Date" dataDxfId="31"/>
    <tableColumn id="8" xr3:uid="{FD112848-883F-4A3E-B3E0-FF6BFA059B10}" name="Purchase Price" dataDxfId="30"/>
    <tableColumn id="9" xr3:uid="{3339FB8F-B6FE-47B0-B96E-9E0F60C47600}" name="Estimated Value" dataDxfId="29"/>
    <tableColumn id="10" xr3:uid="{CF43E199-80A3-4CDF-913A-E25819D33429}" name="Value Basis"/>
    <tableColumn id="11" xr3:uid="{90C99BD5-3D00-43AA-A92C-33B8CFD9D329}" name="Value Date" dataDxfId="28"/>
    <tableColumn id="12" xr3:uid="{96CE2C5B-6C35-4A70-8CE6-78CF7CA8259B}" name="Location"/>
    <tableColumn id="13" xr3:uid="{86257E97-979B-490E-901C-BB4D8E705CFF}" name="Condition"/>
    <tableColumn id="14" xr3:uid="{539DDCA7-2085-466D-A837-73E7611667DA}" name="Status"/>
    <tableColumn id="15" xr3:uid="{E9207D48-E70C-45A6-9522-C0750107D1D7}" name="Tags"/>
    <tableColumn id="16" xr3:uid="{7E25278E-0541-4C7B-94EA-274F57AD765B}" name="Notes"/>
    <tableColumn id="17" xr3:uid="{779BAB66-E3BE-4FBD-AE94-2F2258485E79}" name="Entered Via"/>
    <tableColumn id="18" xr3:uid="{4217A1DF-8669-4889-9114-35C2C94A7376}" name="Last Updated" dataDxfId="27"/>
    <tableColumn id="19" xr3:uid="{5F9EEC06-90D6-4370-B6B6-54ECB5919165}" name="ISBN" dataDxfId="26"/>
    <tableColumn id="20" xr3:uid="{0CD39604-42DD-4172-9DC0-44DDFB70256A}" name="Author"/>
    <tableColumn id="21" xr3:uid="{AB9C9212-3C88-400B-BA0A-36E492E149F4}" name="Publisher"/>
    <tableColumn id="22" xr3:uid="{A86991CC-8C86-406E-9BC8-7258F6A0F396}" name="Publication Year" dataDxfId="25"/>
    <tableColumn id="23" xr3:uid="{EF0110B7-FBF2-4814-BC1F-C4801048BF2D}" name="Edition"/>
    <tableColumn id="24" xr3:uid="{B54D0ADD-BBB1-428F-80C3-7FA0B03A0869}" name="Printing"/>
    <tableColumn id="25" xr3:uid="{C3E95D06-2C05-47F4-8A15-A38F4A7C35A5}" name="Pages"/>
    <tableColumn id="26" xr3:uid="{88D944EA-DAE7-4238-8C15-64ACA6C46552}" name="Binding"/>
    <tableColumn id="27" xr3:uid="{6677B7E9-3F47-4A8E-ABB5-C135E11C8846}" name="Signed or Inscribed"/>
    <tableColumn id="28" xr3:uid="{2676C5D5-3931-4257-9A97-C376CCDF6EE4}" name="Dust Jacket"/>
    <tableColumn id="29" xr3:uid="{D81559C3-4E2A-44C3-B4FA-8153C162AE22}" name="Lookup 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303E95F-ABEC-48F4-91AF-FEBB92438404}" name="tblItems" displayName="tblItems" ref="A1:Y2" totalsRowShown="0" headerRowDxfId="16">
  <autoFilter ref="A1:Y2" xr:uid="{4303E95F-ABEC-48F4-91AF-FEBB92438404}"/>
  <tableColumns count="25">
    <tableColumn id="1" xr3:uid="{459AB898-8A92-4075-B653-9A8303B4D55B}" name="Item No" dataDxfId="23"/>
    <tableColumn id="2" xr3:uid="{3B8D1913-AF86-4E2A-A7D1-58E4951A2644}" name="Name"/>
    <tableColumn id="3" xr3:uid="{31A5620B-9F8E-4D3B-A482-FA67F7023DC6}" name="Creator"/>
    <tableColumn id="4" xr3:uid="{B9BAACE5-450E-4A83-88DD-7B5856D0FC2C}" name="Description"/>
    <tableColumn id="5" xr3:uid="{5451736E-A280-40C7-B252-B2003DF1E8BF}" name="Acquired From Type"/>
    <tableColumn id="6" xr3:uid="{684C9E9A-18A6-4C7D-BB72-CC4AA33CD250}" name="Acquired From Name"/>
    <tableColumn id="7" xr3:uid="{BC66BFBB-580F-4DEE-828C-7E5DE87F8AED}" name="Acquired Date" dataDxfId="22"/>
    <tableColumn id="8" xr3:uid="{238C791F-0007-4BD4-8268-81E8AC7DDDD2}" name="Purchase Price" dataDxfId="21"/>
    <tableColumn id="9" xr3:uid="{5C920BD3-8C7C-4098-95EE-0674B78FD578}" name="Estimated Value" dataDxfId="20"/>
    <tableColumn id="10" xr3:uid="{1CF27051-1D02-4917-A203-5DADE38098A4}" name="Value Basis"/>
    <tableColumn id="11" xr3:uid="{60FB726F-33B2-419C-A356-8E0B88401402}" name="Value Date" dataDxfId="19"/>
    <tableColumn id="12" xr3:uid="{B6862170-D8B2-4D58-9248-5AEE9E42AB9C}" name="Location"/>
    <tableColumn id="13" xr3:uid="{F74B515A-D854-45DD-9AD7-04B89BDEF488}" name="Condition"/>
    <tableColumn id="14" xr3:uid="{506DFB82-63E6-48C8-9D8B-5363A86A512C}" name="Status"/>
    <tableColumn id="15" xr3:uid="{C941E4CB-9A9A-4689-9F45-4CABB11938DE}" name="Tags"/>
    <tableColumn id="16" xr3:uid="{82E9FBD2-074D-4F91-9B3A-6272A086F052}" name="Notes"/>
    <tableColumn id="17" xr3:uid="{44B779FD-E1FA-4610-8306-00E2F2BAC4B9}" name="Entered Via"/>
    <tableColumn id="18" xr3:uid="{4DC8D790-7FBB-44EA-B06A-827B8A510C8C}" name="Last Updated" dataDxfId="18"/>
    <tableColumn id="19" xr3:uid="{D1BC7B23-C894-4AB6-BD9F-653B78AF3AA7}" name="Maker or Brand"/>
    <tableColumn id="20" xr3:uid="{FC8B6656-4D9E-4072-9199-33EE38417B8B}" name="Model"/>
    <tableColumn id="21" xr3:uid="{844D6A97-A5E8-4448-9E14-DC6F250AD20F}" name="Serial Number" dataDxfId="17"/>
    <tableColumn id="22" xr3:uid="{703CBEF7-9110-4559-88C8-6712336B6D50}" name="Material"/>
    <tableColumn id="23" xr3:uid="{F31A2084-06A1-45B9-8B93-F744D4C6668B}" name="Era"/>
    <tableColumn id="24" xr3:uid="{0DBB6623-387A-48F8-A247-D8719D4CDC8D}" name="Dimensions (H x W x D)"/>
    <tableColumn id="25" xr3:uid="{6209092C-2A5E-40F4-90C4-297DDE9082C9}" name="Unit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04C796E-8234-4334-81F2-81A2281BDF66}" name="tblMisc" displayName="tblMisc" ref="A1:S2" totalsRowShown="0" headerRowDxfId="9">
  <autoFilter ref="A1:S2" xr:uid="{A04C796E-8234-4334-81F2-81A2281BDF66}"/>
  <tableColumns count="19">
    <tableColumn id="1" xr3:uid="{C1838414-4BC2-4CFF-A248-C1A84B3A10B2}" name="Item No" dataDxfId="15"/>
    <tableColumn id="2" xr3:uid="{D79E0626-ED28-4E60-B015-46E27672FC1B}" name="Name"/>
    <tableColumn id="3" xr3:uid="{5618D1A4-3086-4C7D-9DDC-406CF7167221}" name="Creator"/>
    <tableColumn id="4" xr3:uid="{48F65A44-3E29-4313-A697-0C1D52E1C16B}" name="Description"/>
    <tableColumn id="5" xr3:uid="{01634C7C-4A72-4709-A950-013CD0A68E92}" name="Acquired From Type"/>
    <tableColumn id="6" xr3:uid="{A4EF8D25-CB3C-4CD5-820D-5127BC5C3863}" name="Acquired From Name"/>
    <tableColumn id="7" xr3:uid="{045F55D9-6F07-4296-BF4B-2BB4EC7F8708}" name="Acquired Date" dataDxfId="14"/>
    <tableColumn id="8" xr3:uid="{3C409CEC-BECF-434C-A849-91869CDA08AE}" name="Purchase Price" dataDxfId="13"/>
    <tableColumn id="9" xr3:uid="{EA6C8237-800A-410C-ABE4-578167766E36}" name="Estimated Value" dataDxfId="12"/>
    <tableColumn id="10" xr3:uid="{09FD3DB0-DF7B-4078-BBC9-D7C2AF935A0C}" name="Value Basis"/>
    <tableColumn id="11" xr3:uid="{9EE5978D-C53A-4877-B5A3-A245BA522AC7}" name="Value Date" dataDxfId="11"/>
    <tableColumn id="12" xr3:uid="{93CB4988-1309-47D1-897E-AC8870B4920A}" name="Location"/>
    <tableColumn id="13" xr3:uid="{0BE41AB4-56E6-4113-A3D7-52B0D6A4DFDC}" name="Condition"/>
    <tableColumn id="14" xr3:uid="{C1AE7587-DAEC-4EE0-BE88-1FA20AFF438E}" name="Status"/>
    <tableColumn id="15" xr3:uid="{81F3A615-294F-4119-B02C-A0065894B987}" name="Tags"/>
    <tableColumn id="16" xr3:uid="{9332D5D2-5578-40E3-83D3-5DFFA8B980E1}" name="Notes"/>
    <tableColumn id="17" xr3:uid="{E1DBC028-274B-4988-B1A3-11BCA7D348E2}" name="Entered Via"/>
    <tableColumn id="18" xr3:uid="{E788E23F-E9E8-424B-A984-5DA40B54B857}" name="Last Updated" dataDxfId="10"/>
    <tableColumn id="19" xr3:uid="{DB6B0547-097E-4A52-A4D4-107D3954EE96}" name="Suggested Categor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21012AF-EBB8-4933-B123-BDD49393DC04}" name="tblIsbn" displayName="tblIsbn" ref="A1:G2" tableType="queryTable" insertRow="1" totalsRowShown="0">
  <autoFilter ref="A1:G2" xr:uid="{E21012AF-EBB8-4933-B123-BDD49393DC04}"/>
  <tableColumns count="7">
    <tableColumn id="8" xr3:uid="{226BEC76-9CCC-491D-A402-3C24CCFF0A7B}" uniqueName="8" name="ISBN" queryTableFieldId="1"/>
    <tableColumn id="9" xr3:uid="{85A7D1A3-6EBE-4220-A00D-D33627F5D1D1}" uniqueName="9" name="Title" queryTableFieldId="2"/>
    <tableColumn id="10" xr3:uid="{78B76753-938A-4365-99C7-335BA747C04C}" uniqueName="10" name="Author" queryTableFieldId="3"/>
    <tableColumn id="11" xr3:uid="{FAC0863D-5D78-4BDF-862A-5DB1CFBA6634}" uniqueName="11" name="Publisher" queryTableFieldId="4"/>
    <tableColumn id="12" xr3:uid="{805EE576-E3EA-4122-AB71-73CED5FA0C77}" uniqueName="12" name="Publication Year" queryTableFieldId="5"/>
    <tableColumn id="13" xr3:uid="{BBC53BE0-E535-4801-AA18-B709393B271B}" uniqueName="13" name="Pages" queryTableFieldId="6"/>
    <tableColumn id="14" xr3:uid="{46D08B73-EB58-4D8F-A950-AD760262A9DC}" uniqueName="14" name="Lookup Status" queryTableFieldId="7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F16A275-58A2-4345-9BB1-8BE779821C57}" name="tblValuations" displayName="tblValuations" ref="A1:E2" totalsRowShown="0">
  <autoFilter ref="A1:E2" xr:uid="{1F16A275-58A2-4345-9BB1-8BE779821C57}"/>
  <tableColumns count="5">
    <tableColumn id="1" xr3:uid="{3DC1C051-915A-4165-AF02-EF19BCF881CD}" name="Item No"/>
    <tableColumn id="2" xr3:uid="{21EE0B7C-2D89-4A02-A3B0-94FB66FEB23E}" name="Value Date" dataDxfId="1"/>
    <tableColumn id="3" xr3:uid="{A6C456E1-94DE-4A81-875C-DF858E5ABD48}" name="Estimated Value" dataDxfId="0"/>
    <tableColumn id="4" xr3:uid="{19672DA0-2414-4540-A369-04C8D547D5B5}" name="Value Basis"/>
    <tableColumn id="5" xr3:uid="{392D0CC8-6F73-456B-88CD-03EE67D57823}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C85E07-4C87-43A8-B9DC-729C5AB18D17}" name="tblCategories" displayName="tblCategories" ref="A1:E5" totalsRowShown="0">
  <autoFilter ref="A1:E5" xr:uid="{9AC85E07-4C87-43A8-B9DC-729C5AB18D17}"/>
  <tableColumns count="5">
    <tableColumn id="1" xr3:uid="{EC9A376C-900F-4D5B-9186-FEF910B89AA8}" name="Name"/>
    <tableColumn id="2" xr3:uid="{CB4AA2C4-3732-401D-8790-D6132E16B313}" name="Tab"/>
    <tableColumn id="3" xr3:uid="{26F142EE-AE57-484C-8337-082734401896}" name="Table"/>
    <tableColumn id="4" xr3:uid="{535C33A0-F027-4270-8B48-E1645302C557}" name="Prefix"/>
    <tableColumn id="5" xr3:uid="{4AFD5840-2808-4923-A3ED-0129A3962C9C}" name="Next Item No">
      <calculatedColumnFormula array="1">_xlfn.LET(_xlpm.p,tblCategories[[#This Row],[Prefix]],_xlpm.ids,INDIRECT(tblCategories[[#This Row],[Table]]&amp;"[Item No]"),_xlpm.n,IFERROR(--SUBSTITUTE(_xlpm.ids,_xlpm.p&amp;"-",""),0),_xlpm.p&amp;"-"&amp;TEXT(MAX(_xlpm.n)+1,"0000"))</calculatedColumnFormula>
    </tableColumn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D75160-460D-481F-9FF6-18F742B9EB7D}" name="tblDropdowns" displayName="tblDropdowns" ref="G1:H13" totalsRowShown="0">
  <autoFilter ref="G1:H13" xr:uid="{EFD75160-460D-481F-9FF6-18F742B9EB7D}"/>
  <tableColumns count="2">
    <tableColumn id="1" xr3:uid="{5DD4BC19-F2AA-430E-895D-B240198DD6DE}" name="Column"/>
    <tableColumn id="2" xr3:uid="{DC8C2DBB-4EE7-4653-9005-A0ACE12DAD9E}" name="List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D8C671-AF0D-48E8-974F-6222069FD4FD}" name="tblAcquiredFrom" displayName="tblAcquiredFrom" ref="J1:J11" totalsRowShown="0">
  <autoFilter ref="J1:J11" xr:uid="{00D8C671-AF0D-48E8-974F-6222069FD4FD}"/>
  <tableColumns count="1">
    <tableColumn id="1" xr3:uid="{731F73B0-59C5-4229-A164-E0ACDD33D5E0}" name="Acquired From Type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76750FA-1EFC-44B5-91B1-676344EB70ED}" name="tblValueBasis" displayName="tblValueBasis" ref="L1:L5" totalsRowShown="0">
  <autoFilter ref="L1:L5" xr:uid="{576750FA-1EFC-44B5-91B1-676344EB70ED}"/>
  <tableColumns count="1">
    <tableColumn id="1" xr3:uid="{21A53517-A6E7-4A78-B3D6-2141FAC401C1}" name="Value Basis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A0BEEEF-B4D9-422C-B071-4520FDE4286C}" name="tblCondition" displayName="tblCondition" ref="N1:N5" totalsRowShown="0">
  <autoFilter ref="N1:N5" xr:uid="{1A0BEEEF-B4D9-422C-B071-4520FDE4286C}"/>
  <tableColumns count="1">
    <tableColumn id="1" xr3:uid="{703DA7E6-C22D-468C-A8FE-EE3DB15C1B22}" name="Condition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2261099-3475-4644-921C-61792C760882}" name="tblStatus" displayName="tblStatus" ref="P1:P6" totalsRowShown="0">
  <autoFilter ref="P1:P6" xr:uid="{12261099-3475-4644-921C-61792C760882}"/>
  <tableColumns count="1">
    <tableColumn id="1" xr3:uid="{7932EA6A-00DD-4548-B0E9-B52129ECE81F}" name="Status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222EE71-DAD1-44E9-ADAB-AC957CF7C0C7}" name="tblUnits" displayName="tblUnits" ref="R1:R3" totalsRowShown="0">
  <autoFilter ref="R1:R3" xr:uid="{7222EE71-DAD1-44E9-ADAB-AC957CF7C0C7}"/>
  <tableColumns count="1">
    <tableColumn id="1" xr3:uid="{6C771DF2-FF97-467A-A502-068A02A965DD}" name="Units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6314FBF-5AE6-4728-8A65-78BFF0285508}" name="tblYesNo" displayName="tblYesNo" ref="T1:T3" totalsRowShown="0">
  <autoFilter ref="T1:T3" xr:uid="{56314FBF-5AE6-4728-8A65-78BFF0285508}"/>
  <tableColumns count="1">
    <tableColumn id="1" xr3:uid="{B135E27A-C942-4DFF-B174-9CD1CC8E75FD}" name="Yes or No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AFA23E6-55B0-40A2-815D-B8DE4BEA8629}" name="tblBinding" displayName="tblBinding" ref="V1:V6" totalsRowShown="0">
  <autoFilter ref="V1:V6" xr:uid="{FAFA23E6-55B0-40A2-815D-B8DE4BEA8629}"/>
  <tableColumns count="1">
    <tableColumn id="1" xr3:uid="{5808889E-F78C-4DDB-A6F3-75D9FD4B5D4F}" name="Binding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4F0ADC0-481A-4165-8CE3-ECC78448B037}" name="tblLookupStatus" displayName="tblLookupStatus" ref="X1:X4" totalsRowShown="0">
  <autoFilter ref="X1:X4" xr:uid="{F4F0ADC0-481A-4165-8CE3-ECC78448B037}"/>
  <tableColumns count="1">
    <tableColumn id="1" xr3:uid="{C85B1C0C-6DC0-4D6C-86B1-7C4FC83C11DA}" name="Lookup Status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A692B84-4E60-48A5-A1A2-E8C32F2739D9}" name="tblTemplate" displayName="tblTemplate" ref="A1:R2" totalsRowShown="0" headerRowDxfId="2">
  <autoFilter ref="A1:R2" xr:uid="{CA692B84-4E60-48A5-A1A2-E8C32F2739D9}"/>
  <tableColumns count="18">
    <tableColumn id="1" xr3:uid="{47C22C29-51DA-4D24-956E-68EB4CD9D58D}" name="Item No" dataDxfId="8"/>
    <tableColumn id="2" xr3:uid="{931CB705-7349-4FBC-BF1E-38E1E05C82C0}" name="Name"/>
    <tableColumn id="3" xr3:uid="{E7723555-6636-4154-8C42-69F015524340}" name="Creator"/>
    <tableColumn id="4" xr3:uid="{C89E2A0A-E0DA-448A-BC31-9A8ED69A965C}" name="Description"/>
    <tableColumn id="5" xr3:uid="{1F931E7A-8830-4713-8CC3-E080D634C50A}" name="Acquired From Type"/>
    <tableColumn id="6" xr3:uid="{DB5962B6-14B6-482D-A248-FE2A0A6557A1}" name="Acquired From Name"/>
    <tableColumn id="7" xr3:uid="{1E54A918-1FC9-471F-A562-5921A12390EA}" name="Acquired Date" dataDxfId="7"/>
    <tableColumn id="8" xr3:uid="{32DC16FC-5D3E-4811-B04C-9110DD91FA72}" name="Purchase Price" dataDxfId="6"/>
    <tableColumn id="9" xr3:uid="{6003C99D-A23C-4057-BFA7-7E886CCE65DC}" name="Estimated Value" dataDxfId="5"/>
    <tableColumn id="10" xr3:uid="{D2A4E311-B563-4346-8FBC-6B5D09CD4E4B}" name="Value Basis"/>
    <tableColumn id="11" xr3:uid="{F9F77E96-6828-4F90-B058-26796AE7C713}" name="Value Date" dataDxfId="4"/>
    <tableColumn id="12" xr3:uid="{864FB6BA-AC6B-41D5-ACB0-19CF9CE57CBF}" name="Location"/>
    <tableColumn id="13" xr3:uid="{918A73D6-0839-4FCA-961D-1E0ED320B7E1}" name="Condition"/>
    <tableColumn id="14" xr3:uid="{9FEED7A9-C50F-41DF-953A-B2D10CA980B5}" name="Status"/>
    <tableColumn id="15" xr3:uid="{7C1C59CB-4552-4B0F-942C-0E80A5A92EF3}" name="Tags"/>
    <tableColumn id="16" xr3:uid="{CBA9F8E1-F675-43F8-9737-B34E18F9CCB9}" name="Notes"/>
    <tableColumn id="17" xr3:uid="{370146BF-8370-46E9-A9B1-558380BB222E}" name="Entered Via"/>
    <tableColumn id="18" xr3:uid="{1F84556E-1157-46AA-971A-80B1925A8F0E}" name="Last Updated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4.xml"/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10" Type="http://schemas.openxmlformats.org/officeDocument/2006/relationships/table" Target="../tables/table16.xml"/><Relationship Id="rId4" Type="http://schemas.openxmlformats.org/officeDocument/2006/relationships/table" Target="../tables/table10.xml"/><Relationship Id="rId9" Type="http://schemas.openxmlformats.org/officeDocument/2006/relationships/table" Target="../tables/table1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D6D0F-4E5F-41E7-993F-8AC8FD7B8910}">
  <dimension ref="A1:A26"/>
  <sheetViews>
    <sheetView tabSelected="1" workbookViewId="0"/>
  </sheetViews>
  <sheetFormatPr defaultRowHeight="13.5"/>
  <cols>
    <col min="1" max="1" width="140.5625" customWidth="1"/>
  </cols>
  <sheetData>
    <row r="1" spans="1:1" ht="17.649999999999999">
      <c r="A1" s="6" t="s">
        <v>113</v>
      </c>
    </row>
    <row r="3" spans="1:1" ht="13.9">
      <c r="A3" s="9" t="s">
        <v>114</v>
      </c>
    </row>
    <row r="4" spans="1:1">
      <c r="A4" t="s">
        <v>115</v>
      </c>
    </row>
    <row r="5" spans="1:1">
      <c r="A5" t="s">
        <v>116</v>
      </c>
    </row>
    <row r="6" spans="1:1">
      <c r="A6" t="s">
        <v>117</v>
      </c>
    </row>
    <row r="8" spans="1:1" ht="13.9">
      <c r="A8" s="9" t="s">
        <v>118</v>
      </c>
    </row>
    <row r="9" spans="1:1">
      <c r="A9" t="s">
        <v>119</v>
      </c>
    </row>
    <row r="10" spans="1:1">
      <c r="A10" t="s">
        <v>120</v>
      </c>
    </row>
    <row r="11" spans="1:1">
      <c r="A11" t="s">
        <v>121</v>
      </c>
    </row>
    <row r="13" spans="1:1" ht="13.9">
      <c r="A13" s="9" t="s">
        <v>122</v>
      </c>
    </row>
    <row r="14" spans="1:1">
      <c r="A14" t="s">
        <v>123</v>
      </c>
    </row>
    <row r="16" spans="1:1" ht="13.9">
      <c r="A16" s="9" t="s">
        <v>124</v>
      </c>
    </row>
    <row r="17" spans="1:1">
      <c r="A17" t="s">
        <v>125</v>
      </c>
    </row>
    <row r="19" spans="1:1" ht="13.9">
      <c r="A19" s="9" t="s">
        <v>126</v>
      </c>
    </row>
    <row r="20" spans="1:1">
      <c r="A20" t="s">
        <v>127</v>
      </c>
    </row>
    <row r="21" spans="1:1">
      <c r="A21" t="s">
        <v>128</v>
      </c>
    </row>
    <row r="22" spans="1:1">
      <c r="A22" t="s">
        <v>129</v>
      </c>
    </row>
    <row r="23" spans="1:1">
      <c r="A23" t="s">
        <v>130</v>
      </c>
    </row>
    <row r="24" spans="1:1">
      <c r="A24" t="s">
        <v>131</v>
      </c>
    </row>
    <row r="26" spans="1:1">
      <c r="A26" t="s">
        <v>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ECA4C-CA38-4DAC-93D6-549D6E4835F0}">
  <dimension ref="A1:Q1000"/>
  <sheetViews>
    <sheetView workbookViewId="0"/>
  </sheetViews>
  <sheetFormatPr defaultRowHeight="13.5"/>
  <cols>
    <col min="1" max="1" width="20.5625" customWidth="1"/>
    <col min="2" max="2" width="16.5625" customWidth="1"/>
    <col min="3" max="3" width="30.5625" customWidth="1"/>
    <col min="4" max="17" width="16.5625" customWidth="1"/>
  </cols>
  <sheetData>
    <row r="1" spans="1:17" ht="17.649999999999999">
      <c r="A1" s="6" t="s">
        <v>105</v>
      </c>
    </row>
    <row r="2" spans="1:17" ht="13.9">
      <c r="A2" t="s">
        <v>106</v>
      </c>
      <c r="B2" s="7"/>
      <c r="D2" s="9" t="s">
        <v>111</v>
      </c>
      <c r="E2">
        <f>IF(A11="No matches",0,ROWS(_xlfn.ANCHORARRAY(A11)))</f>
        <v>0</v>
      </c>
    </row>
    <row r="3" spans="1:17" ht="13.9">
      <c r="A3" t="s">
        <v>107</v>
      </c>
      <c r="B3" s="7"/>
      <c r="D3" s="9" t="s">
        <v>112</v>
      </c>
      <c r="E3" s="3">
        <f>IF(A11="No matches",0,SUM(INDEX(_xlfn.ANCHORARRAY(A11),0,10)))</f>
        <v>0</v>
      </c>
    </row>
    <row r="4" spans="1:17">
      <c r="A4" t="s">
        <v>25</v>
      </c>
      <c r="B4" s="7"/>
    </row>
    <row r="5" spans="1:17">
      <c r="A5" t="s">
        <v>108</v>
      </c>
      <c r="B5" s="7"/>
    </row>
    <row r="6" spans="1:17">
      <c r="A6" t="s">
        <v>109</v>
      </c>
      <c r="B6" s="8"/>
    </row>
    <row r="7" spans="1:17">
      <c r="A7" t="s">
        <v>110</v>
      </c>
      <c r="B7" s="8"/>
    </row>
    <row r="10" spans="1:17" ht="13.9">
      <c r="A10" s="10" t="s">
        <v>107</v>
      </c>
      <c r="B10" s="10" t="s">
        <v>74</v>
      </c>
      <c r="C10" s="10" t="s">
        <v>0</v>
      </c>
      <c r="D10" s="10" t="s">
        <v>75</v>
      </c>
      <c r="E10" s="10" t="s">
        <v>76</v>
      </c>
      <c r="F10" s="10" t="s">
        <v>19</v>
      </c>
      <c r="G10" s="10" t="s">
        <v>77</v>
      </c>
      <c r="H10" s="10" t="s">
        <v>78</v>
      </c>
      <c r="I10" s="10" t="s">
        <v>79</v>
      </c>
      <c r="J10" s="10" t="s">
        <v>80</v>
      </c>
      <c r="K10" s="10" t="s">
        <v>21</v>
      </c>
      <c r="L10" s="10" t="s">
        <v>81</v>
      </c>
      <c r="M10" s="10" t="s">
        <v>82</v>
      </c>
      <c r="N10" s="10" t="s">
        <v>23</v>
      </c>
      <c r="O10" s="10" t="s">
        <v>25</v>
      </c>
      <c r="P10" s="10" t="s">
        <v>83</v>
      </c>
      <c r="Q10" s="10" t="s">
        <v>84</v>
      </c>
    </row>
    <row r="11" spans="1:17">
      <c r="A11" t="str" cm="1">
        <f t="array" ref="A11">_xlfn.LET(
 _xlpm.d, _xlfn.VSTACK(tblArt[[Item No]:[Notes]], tblBooks[[Item No]:[Notes]], tblItems[[Item No]:[Notes]], tblMisc[[Item No]:[Notes]]),
 _xlpm.cat, _xlfn.VSTACK(_xlfn.EXPAND("Art",ROWS(tblArt[]),1,"Art"), _xlfn.EXPAND("Books",ROWS(tblBooks[]),1,"Books"), _xlfn.EXPAND("Items",ROWS(tblItems[]),1,"Items"), _xlfn.EXPAND("Misc",ROWS(tblMisc[]),1,"Misc")),
 _xlpm.txt, _xlfn.BYROW(_xlfn.CHOOSECOLS(_xlpm.d,1,2,3,4,6,12,15,16), _xlfn.LAMBDA(_xlpm.r, _xlfn.TEXTJOIN(" ",TRUE,_xlpm.r))),
 _xlpm.val, IFERROR(--_xlfn.CHOOSECOLS(_xlpm.d,9),0),
 _xlpm.keep, ((_xlfn.CHOOSECOLS(_xlpm.d,1)&lt;&gt;"")+(_xlfn.CHOOSECOLS(_xlpm.d,2)&lt;&gt;"")&gt;0)
   * IF($B$2="",1,ISNUMBER(SEARCH($B$2,_xlpm.txt)))
   * IF($B$3="",1,_xlpm.cat=$B$3)
   * IF($B$4="",1,_xlfn.CHOOSECOLS(_xlpm.d,14)=$B$4)
   * IF($B$5="",1,ISNUMBER(SEARCH($B$5,_xlfn.CHOOSECOLS(_xlpm.d,12))))
   * IF($B$6="",1,_xlpm.val&gt;=$B$6)
   * IF($B$7="",1,_xlpm.val&lt;=$B$7),
 _xlpm.res, _xlfn._xlws.FILTER(_xlfn.HSTACK(_xlpm.cat,_xlpm.d), _xlpm.keep, "No matches"),
 IFERROR(_xlfn._xlws.SORT(_xlpm.res,3), _xlpm.res))</f>
        <v>No matches</v>
      </c>
      <c r="G11" s="2"/>
      <c r="H11" s="3"/>
      <c r="I11" s="3"/>
      <c r="L11" s="2"/>
    </row>
    <row r="12" spans="1:17">
      <c r="G12" s="2"/>
      <c r="H12" s="3"/>
      <c r="I12" s="3"/>
      <c r="L12" s="2"/>
    </row>
    <row r="13" spans="1:17">
      <c r="G13" s="2"/>
      <c r="H13" s="3"/>
      <c r="I13" s="3"/>
      <c r="L13" s="2"/>
    </row>
    <row r="14" spans="1:17">
      <c r="G14" s="2"/>
      <c r="H14" s="3"/>
      <c r="I14" s="3"/>
      <c r="L14" s="2"/>
    </row>
    <row r="15" spans="1:17">
      <c r="G15" s="2"/>
      <c r="H15" s="3"/>
      <c r="I15" s="3"/>
      <c r="L15" s="2"/>
    </row>
    <row r="16" spans="1:17">
      <c r="G16" s="2"/>
      <c r="H16" s="3"/>
      <c r="I16" s="3"/>
      <c r="L16" s="2"/>
    </row>
    <row r="17" spans="7:12">
      <c r="G17" s="2"/>
      <c r="H17" s="3"/>
      <c r="I17" s="3"/>
      <c r="L17" s="2"/>
    </row>
    <row r="18" spans="7:12">
      <c r="G18" s="2"/>
      <c r="H18" s="3"/>
      <c r="I18" s="3"/>
      <c r="L18" s="2"/>
    </row>
    <row r="19" spans="7:12">
      <c r="G19" s="2"/>
      <c r="H19" s="3"/>
      <c r="I19" s="3"/>
      <c r="L19" s="2"/>
    </row>
    <row r="20" spans="7:12">
      <c r="G20" s="2"/>
      <c r="H20" s="3"/>
      <c r="I20" s="3"/>
      <c r="L20" s="2"/>
    </row>
    <row r="21" spans="7:12">
      <c r="G21" s="2"/>
      <c r="H21" s="3"/>
      <c r="I21" s="3"/>
      <c r="L21" s="2"/>
    </row>
    <row r="22" spans="7:12">
      <c r="G22" s="2"/>
      <c r="H22" s="3"/>
      <c r="I22" s="3"/>
      <c r="L22" s="2"/>
    </row>
    <row r="23" spans="7:12">
      <c r="G23" s="2"/>
      <c r="H23" s="3"/>
      <c r="I23" s="3"/>
      <c r="L23" s="2"/>
    </row>
    <row r="24" spans="7:12">
      <c r="G24" s="2"/>
      <c r="H24" s="3"/>
      <c r="I24" s="3"/>
      <c r="L24" s="2"/>
    </row>
    <row r="25" spans="7:12">
      <c r="G25" s="2"/>
      <c r="H25" s="3"/>
      <c r="I25" s="3"/>
      <c r="L25" s="2"/>
    </row>
    <row r="26" spans="7:12">
      <c r="G26" s="2"/>
      <c r="H26" s="3"/>
      <c r="I26" s="3"/>
      <c r="L26" s="2"/>
    </row>
    <row r="27" spans="7:12">
      <c r="G27" s="2"/>
      <c r="H27" s="3"/>
      <c r="I27" s="3"/>
      <c r="L27" s="2"/>
    </row>
    <row r="28" spans="7:12">
      <c r="G28" s="2"/>
      <c r="H28" s="3"/>
      <c r="I28" s="3"/>
      <c r="L28" s="2"/>
    </row>
    <row r="29" spans="7:12">
      <c r="G29" s="2"/>
      <c r="H29" s="3"/>
      <c r="I29" s="3"/>
      <c r="L29" s="2"/>
    </row>
    <row r="30" spans="7:12">
      <c r="G30" s="2"/>
      <c r="H30" s="3"/>
      <c r="I30" s="3"/>
      <c r="L30" s="2"/>
    </row>
    <row r="31" spans="7:12">
      <c r="G31" s="2"/>
      <c r="H31" s="3"/>
      <c r="I31" s="3"/>
      <c r="L31" s="2"/>
    </row>
    <row r="32" spans="7:12">
      <c r="G32" s="2"/>
      <c r="H32" s="3"/>
      <c r="I32" s="3"/>
      <c r="L32" s="2"/>
    </row>
    <row r="33" spans="7:12">
      <c r="G33" s="2"/>
      <c r="H33" s="3"/>
      <c r="I33" s="3"/>
      <c r="L33" s="2"/>
    </row>
    <row r="34" spans="7:12">
      <c r="G34" s="2"/>
      <c r="H34" s="3"/>
      <c r="I34" s="3"/>
      <c r="L34" s="2"/>
    </row>
    <row r="35" spans="7:12">
      <c r="G35" s="2"/>
      <c r="H35" s="3"/>
      <c r="I35" s="3"/>
      <c r="L35" s="2"/>
    </row>
    <row r="36" spans="7:12">
      <c r="G36" s="2"/>
      <c r="H36" s="3"/>
      <c r="I36" s="3"/>
      <c r="L36" s="2"/>
    </row>
    <row r="37" spans="7:12">
      <c r="G37" s="2"/>
      <c r="H37" s="3"/>
      <c r="I37" s="3"/>
      <c r="L37" s="2"/>
    </row>
    <row r="38" spans="7:12">
      <c r="G38" s="2"/>
      <c r="H38" s="3"/>
      <c r="I38" s="3"/>
      <c r="L38" s="2"/>
    </row>
    <row r="39" spans="7:12">
      <c r="G39" s="2"/>
      <c r="H39" s="3"/>
      <c r="I39" s="3"/>
      <c r="L39" s="2"/>
    </row>
    <row r="40" spans="7:12">
      <c r="G40" s="2"/>
      <c r="H40" s="3"/>
      <c r="I40" s="3"/>
      <c r="L40" s="2"/>
    </row>
    <row r="41" spans="7:12">
      <c r="G41" s="2"/>
      <c r="H41" s="3"/>
      <c r="I41" s="3"/>
      <c r="L41" s="2"/>
    </row>
    <row r="42" spans="7:12">
      <c r="G42" s="2"/>
      <c r="H42" s="3"/>
      <c r="I42" s="3"/>
      <c r="L42" s="2"/>
    </row>
    <row r="43" spans="7:12">
      <c r="G43" s="2"/>
      <c r="H43" s="3"/>
      <c r="I43" s="3"/>
      <c r="L43" s="2"/>
    </row>
    <row r="44" spans="7:12">
      <c r="G44" s="2"/>
      <c r="H44" s="3"/>
      <c r="I44" s="3"/>
      <c r="L44" s="2"/>
    </row>
    <row r="45" spans="7:12">
      <c r="G45" s="2"/>
      <c r="H45" s="3"/>
      <c r="I45" s="3"/>
      <c r="L45" s="2"/>
    </row>
    <row r="46" spans="7:12">
      <c r="G46" s="2"/>
      <c r="H46" s="3"/>
      <c r="I46" s="3"/>
      <c r="L46" s="2"/>
    </row>
    <row r="47" spans="7:12">
      <c r="G47" s="2"/>
      <c r="H47" s="3"/>
      <c r="I47" s="3"/>
      <c r="L47" s="2"/>
    </row>
    <row r="48" spans="7:12">
      <c r="G48" s="2"/>
      <c r="H48" s="3"/>
      <c r="I48" s="3"/>
      <c r="L48" s="2"/>
    </row>
    <row r="49" spans="7:12">
      <c r="G49" s="2"/>
      <c r="H49" s="3"/>
      <c r="I49" s="3"/>
      <c r="L49" s="2"/>
    </row>
    <row r="50" spans="7:12">
      <c r="G50" s="2"/>
      <c r="H50" s="3"/>
      <c r="I50" s="3"/>
      <c r="L50" s="2"/>
    </row>
    <row r="51" spans="7:12">
      <c r="G51" s="2"/>
      <c r="H51" s="3"/>
      <c r="I51" s="3"/>
      <c r="L51" s="2"/>
    </row>
    <row r="52" spans="7:12">
      <c r="G52" s="2"/>
      <c r="H52" s="3"/>
      <c r="I52" s="3"/>
      <c r="L52" s="2"/>
    </row>
    <row r="53" spans="7:12">
      <c r="G53" s="2"/>
      <c r="H53" s="3"/>
      <c r="I53" s="3"/>
      <c r="L53" s="2"/>
    </row>
    <row r="54" spans="7:12">
      <c r="G54" s="2"/>
      <c r="H54" s="3"/>
      <c r="I54" s="3"/>
      <c r="L54" s="2"/>
    </row>
    <row r="55" spans="7:12">
      <c r="G55" s="2"/>
      <c r="H55" s="3"/>
      <c r="I55" s="3"/>
      <c r="L55" s="2"/>
    </row>
    <row r="56" spans="7:12">
      <c r="G56" s="2"/>
      <c r="H56" s="3"/>
      <c r="I56" s="3"/>
      <c r="L56" s="2"/>
    </row>
    <row r="57" spans="7:12">
      <c r="G57" s="2"/>
      <c r="H57" s="3"/>
      <c r="I57" s="3"/>
      <c r="L57" s="2"/>
    </row>
    <row r="58" spans="7:12">
      <c r="G58" s="2"/>
      <c r="H58" s="3"/>
      <c r="I58" s="3"/>
      <c r="L58" s="2"/>
    </row>
    <row r="59" spans="7:12">
      <c r="G59" s="2"/>
      <c r="H59" s="3"/>
      <c r="I59" s="3"/>
      <c r="L59" s="2"/>
    </row>
    <row r="60" spans="7:12">
      <c r="G60" s="2"/>
      <c r="H60" s="3"/>
      <c r="I60" s="3"/>
      <c r="L60" s="2"/>
    </row>
    <row r="61" spans="7:12">
      <c r="G61" s="2"/>
      <c r="H61" s="3"/>
      <c r="I61" s="3"/>
      <c r="L61" s="2"/>
    </row>
    <row r="62" spans="7:12">
      <c r="G62" s="2"/>
      <c r="H62" s="3"/>
      <c r="I62" s="3"/>
      <c r="L62" s="2"/>
    </row>
    <row r="63" spans="7:12">
      <c r="G63" s="2"/>
      <c r="H63" s="3"/>
      <c r="I63" s="3"/>
      <c r="L63" s="2"/>
    </row>
    <row r="64" spans="7:12">
      <c r="G64" s="2"/>
      <c r="H64" s="3"/>
      <c r="I64" s="3"/>
      <c r="L64" s="2"/>
    </row>
    <row r="65" spans="7:12">
      <c r="G65" s="2"/>
      <c r="H65" s="3"/>
      <c r="I65" s="3"/>
      <c r="L65" s="2"/>
    </row>
    <row r="66" spans="7:12">
      <c r="G66" s="2"/>
      <c r="H66" s="3"/>
      <c r="I66" s="3"/>
      <c r="L66" s="2"/>
    </row>
    <row r="67" spans="7:12">
      <c r="G67" s="2"/>
      <c r="H67" s="3"/>
      <c r="I67" s="3"/>
      <c r="L67" s="2"/>
    </row>
    <row r="68" spans="7:12">
      <c r="G68" s="2"/>
      <c r="H68" s="3"/>
      <c r="I68" s="3"/>
      <c r="L68" s="2"/>
    </row>
    <row r="69" spans="7:12">
      <c r="G69" s="2"/>
      <c r="H69" s="3"/>
      <c r="I69" s="3"/>
      <c r="L69" s="2"/>
    </row>
    <row r="70" spans="7:12">
      <c r="G70" s="2"/>
      <c r="H70" s="3"/>
      <c r="I70" s="3"/>
      <c r="L70" s="2"/>
    </row>
    <row r="71" spans="7:12">
      <c r="G71" s="2"/>
      <c r="H71" s="3"/>
      <c r="I71" s="3"/>
      <c r="L71" s="2"/>
    </row>
    <row r="72" spans="7:12">
      <c r="G72" s="2"/>
      <c r="H72" s="3"/>
      <c r="I72" s="3"/>
      <c r="L72" s="2"/>
    </row>
    <row r="73" spans="7:12">
      <c r="G73" s="2"/>
      <c r="H73" s="3"/>
      <c r="I73" s="3"/>
      <c r="L73" s="2"/>
    </row>
    <row r="74" spans="7:12">
      <c r="G74" s="2"/>
      <c r="H74" s="3"/>
      <c r="I74" s="3"/>
      <c r="L74" s="2"/>
    </row>
    <row r="75" spans="7:12">
      <c r="G75" s="2"/>
      <c r="H75" s="3"/>
      <c r="I75" s="3"/>
      <c r="L75" s="2"/>
    </row>
    <row r="76" spans="7:12">
      <c r="G76" s="2"/>
      <c r="H76" s="3"/>
      <c r="I76" s="3"/>
      <c r="L76" s="2"/>
    </row>
    <row r="77" spans="7:12">
      <c r="G77" s="2"/>
      <c r="H77" s="3"/>
      <c r="I77" s="3"/>
      <c r="L77" s="2"/>
    </row>
    <row r="78" spans="7:12">
      <c r="G78" s="2"/>
      <c r="H78" s="3"/>
      <c r="I78" s="3"/>
      <c r="L78" s="2"/>
    </row>
    <row r="79" spans="7:12">
      <c r="G79" s="2"/>
      <c r="H79" s="3"/>
      <c r="I79" s="3"/>
      <c r="L79" s="2"/>
    </row>
    <row r="80" spans="7:12">
      <c r="G80" s="2"/>
      <c r="H80" s="3"/>
      <c r="I80" s="3"/>
      <c r="L80" s="2"/>
    </row>
    <row r="81" spans="7:12">
      <c r="G81" s="2"/>
      <c r="H81" s="3"/>
      <c r="I81" s="3"/>
      <c r="L81" s="2"/>
    </row>
    <row r="82" spans="7:12">
      <c r="G82" s="2"/>
      <c r="H82" s="3"/>
      <c r="I82" s="3"/>
      <c r="L82" s="2"/>
    </row>
    <row r="83" spans="7:12">
      <c r="G83" s="2"/>
      <c r="H83" s="3"/>
      <c r="I83" s="3"/>
      <c r="L83" s="2"/>
    </row>
    <row r="84" spans="7:12">
      <c r="G84" s="2"/>
      <c r="H84" s="3"/>
      <c r="I84" s="3"/>
      <c r="L84" s="2"/>
    </row>
    <row r="85" spans="7:12">
      <c r="G85" s="2"/>
      <c r="H85" s="3"/>
      <c r="I85" s="3"/>
      <c r="L85" s="2"/>
    </row>
    <row r="86" spans="7:12">
      <c r="G86" s="2"/>
      <c r="H86" s="3"/>
      <c r="I86" s="3"/>
      <c r="L86" s="2"/>
    </row>
    <row r="87" spans="7:12">
      <c r="G87" s="2"/>
      <c r="H87" s="3"/>
      <c r="I87" s="3"/>
      <c r="L87" s="2"/>
    </row>
    <row r="88" spans="7:12">
      <c r="G88" s="2"/>
      <c r="H88" s="3"/>
      <c r="I88" s="3"/>
      <c r="L88" s="2"/>
    </row>
    <row r="89" spans="7:12">
      <c r="G89" s="2"/>
      <c r="H89" s="3"/>
      <c r="I89" s="3"/>
      <c r="L89" s="2"/>
    </row>
    <row r="90" spans="7:12">
      <c r="G90" s="2"/>
      <c r="H90" s="3"/>
      <c r="I90" s="3"/>
      <c r="L90" s="2"/>
    </row>
    <row r="91" spans="7:12">
      <c r="G91" s="2"/>
      <c r="H91" s="3"/>
      <c r="I91" s="3"/>
      <c r="L91" s="2"/>
    </row>
    <row r="92" spans="7:12">
      <c r="G92" s="2"/>
      <c r="H92" s="3"/>
      <c r="I92" s="3"/>
      <c r="L92" s="2"/>
    </row>
    <row r="93" spans="7:12">
      <c r="G93" s="2"/>
      <c r="H93" s="3"/>
      <c r="I93" s="3"/>
      <c r="L93" s="2"/>
    </row>
    <row r="94" spans="7:12">
      <c r="G94" s="2"/>
      <c r="H94" s="3"/>
      <c r="I94" s="3"/>
      <c r="L94" s="2"/>
    </row>
    <row r="95" spans="7:12">
      <c r="G95" s="2"/>
      <c r="H95" s="3"/>
      <c r="I95" s="3"/>
      <c r="L95" s="2"/>
    </row>
    <row r="96" spans="7:12">
      <c r="G96" s="2"/>
      <c r="H96" s="3"/>
      <c r="I96" s="3"/>
      <c r="L96" s="2"/>
    </row>
    <row r="97" spans="7:12">
      <c r="G97" s="2"/>
      <c r="H97" s="3"/>
      <c r="I97" s="3"/>
      <c r="L97" s="2"/>
    </row>
    <row r="98" spans="7:12">
      <c r="G98" s="2"/>
      <c r="H98" s="3"/>
      <c r="I98" s="3"/>
      <c r="L98" s="2"/>
    </row>
    <row r="99" spans="7:12">
      <c r="G99" s="2"/>
      <c r="H99" s="3"/>
      <c r="I99" s="3"/>
      <c r="L99" s="2"/>
    </row>
    <row r="100" spans="7:12">
      <c r="G100" s="2"/>
      <c r="H100" s="3"/>
      <c r="I100" s="3"/>
      <c r="L100" s="2"/>
    </row>
    <row r="101" spans="7:12">
      <c r="G101" s="2"/>
      <c r="H101" s="3"/>
      <c r="I101" s="3"/>
      <c r="L101" s="2"/>
    </row>
    <row r="102" spans="7:12">
      <c r="G102" s="2"/>
      <c r="H102" s="3"/>
      <c r="I102" s="3"/>
      <c r="L102" s="2"/>
    </row>
    <row r="103" spans="7:12">
      <c r="G103" s="2"/>
      <c r="H103" s="3"/>
      <c r="I103" s="3"/>
      <c r="L103" s="2"/>
    </row>
    <row r="104" spans="7:12">
      <c r="G104" s="2"/>
      <c r="H104" s="3"/>
      <c r="I104" s="3"/>
      <c r="L104" s="2"/>
    </row>
    <row r="105" spans="7:12">
      <c r="G105" s="2"/>
      <c r="H105" s="3"/>
      <c r="I105" s="3"/>
      <c r="L105" s="2"/>
    </row>
    <row r="106" spans="7:12">
      <c r="G106" s="2"/>
      <c r="H106" s="3"/>
      <c r="I106" s="3"/>
      <c r="L106" s="2"/>
    </row>
    <row r="107" spans="7:12">
      <c r="G107" s="2"/>
      <c r="H107" s="3"/>
      <c r="I107" s="3"/>
      <c r="L107" s="2"/>
    </row>
    <row r="108" spans="7:12">
      <c r="G108" s="2"/>
      <c r="H108" s="3"/>
      <c r="I108" s="3"/>
      <c r="L108" s="2"/>
    </row>
    <row r="109" spans="7:12">
      <c r="G109" s="2"/>
      <c r="H109" s="3"/>
      <c r="I109" s="3"/>
      <c r="L109" s="2"/>
    </row>
    <row r="110" spans="7:12">
      <c r="G110" s="2"/>
      <c r="H110" s="3"/>
      <c r="I110" s="3"/>
      <c r="L110" s="2"/>
    </row>
    <row r="111" spans="7:12">
      <c r="G111" s="2"/>
      <c r="H111" s="3"/>
      <c r="I111" s="3"/>
      <c r="L111" s="2"/>
    </row>
    <row r="112" spans="7:12">
      <c r="G112" s="2"/>
      <c r="H112" s="3"/>
      <c r="I112" s="3"/>
      <c r="L112" s="2"/>
    </row>
    <row r="113" spans="7:12">
      <c r="G113" s="2"/>
      <c r="H113" s="3"/>
      <c r="I113" s="3"/>
      <c r="L113" s="2"/>
    </row>
    <row r="114" spans="7:12">
      <c r="G114" s="2"/>
      <c r="H114" s="3"/>
      <c r="I114" s="3"/>
      <c r="L114" s="2"/>
    </row>
    <row r="115" spans="7:12">
      <c r="G115" s="2"/>
      <c r="H115" s="3"/>
      <c r="I115" s="3"/>
      <c r="L115" s="2"/>
    </row>
    <row r="116" spans="7:12">
      <c r="G116" s="2"/>
      <c r="H116" s="3"/>
      <c r="I116" s="3"/>
      <c r="L116" s="2"/>
    </row>
    <row r="117" spans="7:12">
      <c r="G117" s="2"/>
      <c r="H117" s="3"/>
      <c r="I117" s="3"/>
      <c r="L117" s="2"/>
    </row>
    <row r="118" spans="7:12">
      <c r="G118" s="2"/>
      <c r="H118" s="3"/>
      <c r="I118" s="3"/>
      <c r="L118" s="2"/>
    </row>
    <row r="119" spans="7:12">
      <c r="G119" s="2"/>
      <c r="H119" s="3"/>
      <c r="I119" s="3"/>
      <c r="L119" s="2"/>
    </row>
    <row r="120" spans="7:12">
      <c r="G120" s="2"/>
      <c r="H120" s="3"/>
      <c r="I120" s="3"/>
      <c r="L120" s="2"/>
    </row>
    <row r="121" spans="7:12">
      <c r="G121" s="2"/>
      <c r="H121" s="3"/>
      <c r="I121" s="3"/>
      <c r="L121" s="2"/>
    </row>
    <row r="122" spans="7:12">
      <c r="G122" s="2"/>
      <c r="H122" s="3"/>
      <c r="I122" s="3"/>
      <c r="L122" s="2"/>
    </row>
    <row r="123" spans="7:12">
      <c r="G123" s="2"/>
      <c r="H123" s="3"/>
      <c r="I123" s="3"/>
      <c r="L123" s="2"/>
    </row>
    <row r="124" spans="7:12">
      <c r="G124" s="2"/>
      <c r="H124" s="3"/>
      <c r="I124" s="3"/>
      <c r="L124" s="2"/>
    </row>
    <row r="125" spans="7:12">
      <c r="G125" s="2"/>
      <c r="H125" s="3"/>
      <c r="I125" s="3"/>
      <c r="L125" s="2"/>
    </row>
    <row r="126" spans="7:12">
      <c r="G126" s="2"/>
      <c r="H126" s="3"/>
      <c r="I126" s="3"/>
      <c r="L126" s="2"/>
    </row>
    <row r="127" spans="7:12">
      <c r="G127" s="2"/>
      <c r="H127" s="3"/>
      <c r="I127" s="3"/>
      <c r="L127" s="2"/>
    </row>
    <row r="128" spans="7:12">
      <c r="G128" s="2"/>
      <c r="H128" s="3"/>
      <c r="I128" s="3"/>
      <c r="L128" s="2"/>
    </row>
    <row r="129" spans="7:12">
      <c r="G129" s="2"/>
      <c r="H129" s="3"/>
      <c r="I129" s="3"/>
      <c r="L129" s="2"/>
    </row>
    <row r="130" spans="7:12">
      <c r="G130" s="2"/>
      <c r="H130" s="3"/>
      <c r="I130" s="3"/>
      <c r="L130" s="2"/>
    </row>
    <row r="131" spans="7:12">
      <c r="G131" s="2"/>
      <c r="H131" s="3"/>
      <c r="I131" s="3"/>
      <c r="L131" s="2"/>
    </row>
    <row r="132" spans="7:12">
      <c r="G132" s="2"/>
      <c r="H132" s="3"/>
      <c r="I132" s="3"/>
      <c r="L132" s="2"/>
    </row>
    <row r="133" spans="7:12">
      <c r="G133" s="2"/>
      <c r="H133" s="3"/>
      <c r="I133" s="3"/>
      <c r="L133" s="2"/>
    </row>
    <row r="134" spans="7:12">
      <c r="G134" s="2"/>
      <c r="H134" s="3"/>
      <c r="I134" s="3"/>
      <c r="L134" s="2"/>
    </row>
    <row r="135" spans="7:12">
      <c r="G135" s="2"/>
      <c r="H135" s="3"/>
      <c r="I135" s="3"/>
      <c r="L135" s="2"/>
    </row>
    <row r="136" spans="7:12">
      <c r="G136" s="2"/>
      <c r="H136" s="3"/>
      <c r="I136" s="3"/>
      <c r="L136" s="2"/>
    </row>
    <row r="137" spans="7:12">
      <c r="G137" s="2"/>
      <c r="H137" s="3"/>
      <c r="I137" s="3"/>
      <c r="L137" s="2"/>
    </row>
    <row r="138" spans="7:12">
      <c r="G138" s="2"/>
      <c r="H138" s="3"/>
      <c r="I138" s="3"/>
      <c r="L138" s="2"/>
    </row>
    <row r="139" spans="7:12">
      <c r="G139" s="2"/>
      <c r="H139" s="3"/>
      <c r="I139" s="3"/>
      <c r="L139" s="2"/>
    </row>
    <row r="140" spans="7:12">
      <c r="G140" s="2"/>
      <c r="H140" s="3"/>
      <c r="I140" s="3"/>
      <c r="L140" s="2"/>
    </row>
    <row r="141" spans="7:12">
      <c r="G141" s="2"/>
      <c r="H141" s="3"/>
      <c r="I141" s="3"/>
      <c r="L141" s="2"/>
    </row>
    <row r="142" spans="7:12">
      <c r="G142" s="2"/>
      <c r="H142" s="3"/>
      <c r="I142" s="3"/>
      <c r="L142" s="2"/>
    </row>
    <row r="143" spans="7:12">
      <c r="G143" s="2"/>
      <c r="H143" s="3"/>
      <c r="I143" s="3"/>
      <c r="L143" s="2"/>
    </row>
    <row r="144" spans="7:12">
      <c r="G144" s="2"/>
      <c r="H144" s="3"/>
      <c r="I144" s="3"/>
      <c r="L144" s="2"/>
    </row>
    <row r="145" spans="7:12">
      <c r="G145" s="2"/>
      <c r="H145" s="3"/>
      <c r="I145" s="3"/>
      <c r="L145" s="2"/>
    </row>
    <row r="146" spans="7:12">
      <c r="G146" s="2"/>
      <c r="H146" s="3"/>
      <c r="I146" s="3"/>
      <c r="L146" s="2"/>
    </row>
    <row r="147" spans="7:12">
      <c r="G147" s="2"/>
      <c r="H147" s="3"/>
      <c r="I147" s="3"/>
      <c r="L147" s="2"/>
    </row>
    <row r="148" spans="7:12">
      <c r="G148" s="2"/>
      <c r="H148" s="3"/>
      <c r="I148" s="3"/>
      <c r="L148" s="2"/>
    </row>
    <row r="149" spans="7:12">
      <c r="G149" s="2"/>
      <c r="H149" s="3"/>
      <c r="I149" s="3"/>
      <c r="L149" s="2"/>
    </row>
    <row r="150" spans="7:12">
      <c r="G150" s="2"/>
      <c r="H150" s="3"/>
      <c r="I150" s="3"/>
      <c r="L150" s="2"/>
    </row>
    <row r="151" spans="7:12">
      <c r="G151" s="2"/>
      <c r="H151" s="3"/>
      <c r="I151" s="3"/>
      <c r="L151" s="2"/>
    </row>
    <row r="152" spans="7:12">
      <c r="G152" s="2"/>
      <c r="H152" s="3"/>
      <c r="I152" s="3"/>
      <c r="L152" s="2"/>
    </row>
    <row r="153" spans="7:12">
      <c r="G153" s="2"/>
      <c r="H153" s="3"/>
      <c r="I153" s="3"/>
      <c r="L153" s="2"/>
    </row>
    <row r="154" spans="7:12">
      <c r="G154" s="2"/>
      <c r="H154" s="3"/>
      <c r="I154" s="3"/>
      <c r="L154" s="2"/>
    </row>
    <row r="155" spans="7:12">
      <c r="G155" s="2"/>
      <c r="H155" s="3"/>
      <c r="I155" s="3"/>
      <c r="L155" s="2"/>
    </row>
    <row r="156" spans="7:12">
      <c r="G156" s="2"/>
      <c r="H156" s="3"/>
      <c r="I156" s="3"/>
      <c r="L156" s="2"/>
    </row>
    <row r="157" spans="7:12">
      <c r="G157" s="2"/>
      <c r="H157" s="3"/>
      <c r="I157" s="3"/>
      <c r="L157" s="2"/>
    </row>
    <row r="158" spans="7:12">
      <c r="G158" s="2"/>
      <c r="H158" s="3"/>
      <c r="I158" s="3"/>
      <c r="L158" s="2"/>
    </row>
    <row r="159" spans="7:12">
      <c r="G159" s="2"/>
      <c r="H159" s="3"/>
      <c r="I159" s="3"/>
      <c r="L159" s="2"/>
    </row>
    <row r="160" spans="7:12">
      <c r="G160" s="2"/>
      <c r="H160" s="3"/>
      <c r="I160" s="3"/>
      <c r="L160" s="2"/>
    </row>
    <row r="161" spans="7:12">
      <c r="G161" s="2"/>
      <c r="H161" s="3"/>
      <c r="I161" s="3"/>
      <c r="L161" s="2"/>
    </row>
    <row r="162" spans="7:12">
      <c r="G162" s="2"/>
      <c r="H162" s="3"/>
      <c r="I162" s="3"/>
      <c r="L162" s="2"/>
    </row>
    <row r="163" spans="7:12">
      <c r="G163" s="2"/>
      <c r="H163" s="3"/>
      <c r="I163" s="3"/>
      <c r="L163" s="2"/>
    </row>
    <row r="164" spans="7:12">
      <c r="G164" s="2"/>
      <c r="H164" s="3"/>
      <c r="I164" s="3"/>
      <c r="L164" s="2"/>
    </row>
    <row r="165" spans="7:12">
      <c r="G165" s="2"/>
      <c r="H165" s="3"/>
      <c r="I165" s="3"/>
      <c r="L165" s="2"/>
    </row>
    <row r="166" spans="7:12">
      <c r="G166" s="2"/>
      <c r="H166" s="3"/>
      <c r="I166" s="3"/>
      <c r="L166" s="2"/>
    </row>
    <row r="167" spans="7:12">
      <c r="G167" s="2"/>
      <c r="H167" s="3"/>
      <c r="I167" s="3"/>
      <c r="L167" s="2"/>
    </row>
    <row r="168" spans="7:12">
      <c r="G168" s="2"/>
      <c r="H168" s="3"/>
      <c r="I168" s="3"/>
      <c r="L168" s="2"/>
    </row>
    <row r="169" spans="7:12">
      <c r="G169" s="2"/>
      <c r="H169" s="3"/>
      <c r="I169" s="3"/>
      <c r="L169" s="2"/>
    </row>
    <row r="170" spans="7:12">
      <c r="G170" s="2"/>
      <c r="H170" s="3"/>
      <c r="I170" s="3"/>
      <c r="L170" s="2"/>
    </row>
    <row r="171" spans="7:12">
      <c r="G171" s="2"/>
      <c r="H171" s="3"/>
      <c r="I171" s="3"/>
      <c r="L171" s="2"/>
    </row>
    <row r="172" spans="7:12">
      <c r="G172" s="2"/>
      <c r="H172" s="3"/>
      <c r="I172" s="3"/>
      <c r="L172" s="2"/>
    </row>
    <row r="173" spans="7:12">
      <c r="G173" s="2"/>
      <c r="H173" s="3"/>
      <c r="I173" s="3"/>
      <c r="L173" s="2"/>
    </row>
    <row r="174" spans="7:12">
      <c r="G174" s="2"/>
      <c r="H174" s="3"/>
      <c r="I174" s="3"/>
      <c r="L174" s="2"/>
    </row>
    <row r="175" spans="7:12">
      <c r="G175" s="2"/>
      <c r="H175" s="3"/>
      <c r="I175" s="3"/>
      <c r="L175" s="2"/>
    </row>
    <row r="176" spans="7:12">
      <c r="G176" s="2"/>
      <c r="H176" s="3"/>
      <c r="I176" s="3"/>
      <c r="L176" s="2"/>
    </row>
    <row r="177" spans="7:12">
      <c r="G177" s="2"/>
      <c r="H177" s="3"/>
      <c r="I177" s="3"/>
      <c r="L177" s="2"/>
    </row>
    <row r="178" spans="7:12">
      <c r="G178" s="2"/>
      <c r="H178" s="3"/>
      <c r="I178" s="3"/>
      <c r="L178" s="2"/>
    </row>
    <row r="179" spans="7:12">
      <c r="G179" s="2"/>
      <c r="H179" s="3"/>
      <c r="I179" s="3"/>
      <c r="L179" s="2"/>
    </row>
    <row r="180" spans="7:12">
      <c r="G180" s="2"/>
      <c r="H180" s="3"/>
      <c r="I180" s="3"/>
      <c r="L180" s="2"/>
    </row>
    <row r="181" spans="7:12">
      <c r="G181" s="2"/>
      <c r="H181" s="3"/>
      <c r="I181" s="3"/>
      <c r="L181" s="2"/>
    </row>
    <row r="182" spans="7:12">
      <c r="G182" s="2"/>
      <c r="H182" s="3"/>
      <c r="I182" s="3"/>
      <c r="L182" s="2"/>
    </row>
    <row r="183" spans="7:12">
      <c r="G183" s="2"/>
      <c r="H183" s="3"/>
      <c r="I183" s="3"/>
      <c r="L183" s="2"/>
    </row>
    <row r="184" spans="7:12">
      <c r="G184" s="2"/>
      <c r="H184" s="3"/>
      <c r="I184" s="3"/>
      <c r="L184" s="2"/>
    </row>
    <row r="185" spans="7:12">
      <c r="G185" s="2"/>
      <c r="H185" s="3"/>
      <c r="I185" s="3"/>
      <c r="L185" s="2"/>
    </row>
    <row r="186" spans="7:12">
      <c r="G186" s="2"/>
      <c r="H186" s="3"/>
      <c r="I186" s="3"/>
      <c r="L186" s="2"/>
    </row>
    <row r="187" spans="7:12">
      <c r="G187" s="2"/>
      <c r="H187" s="3"/>
      <c r="I187" s="3"/>
      <c r="L187" s="2"/>
    </row>
    <row r="188" spans="7:12">
      <c r="G188" s="2"/>
      <c r="H188" s="3"/>
      <c r="I188" s="3"/>
      <c r="L188" s="2"/>
    </row>
    <row r="189" spans="7:12">
      <c r="G189" s="2"/>
      <c r="H189" s="3"/>
      <c r="I189" s="3"/>
      <c r="L189" s="2"/>
    </row>
    <row r="190" spans="7:12">
      <c r="G190" s="2"/>
      <c r="H190" s="3"/>
      <c r="I190" s="3"/>
      <c r="L190" s="2"/>
    </row>
    <row r="191" spans="7:12">
      <c r="G191" s="2"/>
      <c r="H191" s="3"/>
      <c r="I191" s="3"/>
      <c r="L191" s="2"/>
    </row>
    <row r="192" spans="7:12">
      <c r="G192" s="2"/>
      <c r="H192" s="3"/>
      <c r="I192" s="3"/>
      <c r="L192" s="2"/>
    </row>
    <row r="193" spans="7:12">
      <c r="G193" s="2"/>
      <c r="H193" s="3"/>
      <c r="I193" s="3"/>
      <c r="L193" s="2"/>
    </row>
    <row r="194" spans="7:12">
      <c r="G194" s="2"/>
      <c r="H194" s="3"/>
      <c r="I194" s="3"/>
      <c r="L194" s="2"/>
    </row>
    <row r="195" spans="7:12">
      <c r="G195" s="2"/>
      <c r="H195" s="3"/>
      <c r="I195" s="3"/>
      <c r="L195" s="2"/>
    </row>
    <row r="196" spans="7:12">
      <c r="G196" s="2"/>
      <c r="H196" s="3"/>
      <c r="I196" s="3"/>
      <c r="L196" s="2"/>
    </row>
    <row r="197" spans="7:12">
      <c r="G197" s="2"/>
      <c r="H197" s="3"/>
      <c r="I197" s="3"/>
      <c r="L197" s="2"/>
    </row>
    <row r="198" spans="7:12">
      <c r="G198" s="2"/>
      <c r="H198" s="3"/>
      <c r="I198" s="3"/>
      <c r="L198" s="2"/>
    </row>
    <row r="199" spans="7:12">
      <c r="G199" s="2"/>
      <c r="H199" s="3"/>
      <c r="I199" s="3"/>
      <c r="L199" s="2"/>
    </row>
    <row r="200" spans="7:12">
      <c r="G200" s="2"/>
      <c r="H200" s="3"/>
      <c r="I200" s="3"/>
      <c r="L200" s="2"/>
    </row>
    <row r="201" spans="7:12">
      <c r="G201" s="2"/>
      <c r="H201" s="3"/>
      <c r="I201" s="3"/>
      <c r="L201" s="2"/>
    </row>
    <row r="202" spans="7:12">
      <c r="G202" s="2"/>
      <c r="H202" s="3"/>
      <c r="I202" s="3"/>
      <c r="L202" s="2"/>
    </row>
    <row r="203" spans="7:12">
      <c r="G203" s="2"/>
      <c r="H203" s="3"/>
      <c r="I203" s="3"/>
      <c r="L203" s="2"/>
    </row>
    <row r="204" spans="7:12">
      <c r="G204" s="2"/>
      <c r="H204" s="3"/>
      <c r="I204" s="3"/>
      <c r="L204" s="2"/>
    </row>
    <row r="205" spans="7:12">
      <c r="G205" s="2"/>
      <c r="H205" s="3"/>
      <c r="I205" s="3"/>
      <c r="L205" s="2"/>
    </row>
    <row r="206" spans="7:12">
      <c r="G206" s="2"/>
      <c r="H206" s="3"/>
      <c r="I206" s="3"/>
      <c r="L206" s="2"/>
    </row>
    <row r="207" spans="7:12">
      <c r="G207" s="2"/>
      <c r="H207" s="3"/>
      <c r="I207" s="3"/>
      <c r="L207" s="2"/>
    </row>
    <row r="208" spans="7:12">
      <c r="G208" s="2"/>
      <c r="H208" s="3"/>
      <c r="I208" s="3"/>
      <c r="L208" s="2"/>
    </row>
    <row r="209" spans="7:12">
      <c r="G209" s="2"/>
      <c r="H209" s="3"/>
      <c r="I209" s="3"/>
      <c r="L209" s="2"/>
    </row>
    <row r="210" spans="7:12">
      <c r="G210" s="2"/>
      <c r="H210" s="3"/>
      <c r="I210" s="3"/>
      <c r="L210" s="2"/>
    </row>
    <row r="211" spans="7:12">
      <c r="G211" s="2"/>
      <c r="H211" s="3"/>
      <c r="I211" s="3"/>
      <c r="L211" s="2"/>
    </row>
    <row r="212" spans="7:12">
      <c r="G212" s="2"/>
      <c r="H212" s="3"/>
      <c r="I212" s="3"/>
      <c r="L212" s="2"/>
    </row>
    <row r="213" spans="7:12">
      <c r="G213" s="2"/>
      <c r="H213" s="3"/>
      <c r="I213" s="3"/>
      <c r="L213" s="2"/>
    </row>
    <row r="214" spans="7:12">
      <c r="G214" s="2"/>
      <c r="H214" s="3"/>
      <c r="I214" s="3"/>
      <c r="L214" s="2"/>
    </row>
    <row r="215" spans="7:12">
      <c r="G215" s="2"/>
      <c r="H215" s="3"/>
      <c r="I215" s="3"/>
      <c r="L215" s="2"/>
    </row>
    <row r="216" spans="7:12">
      <c r="G216" s="2"/>
      <c r="H216" s="3"/>
      <c r="I216" s="3"/>
      <c r="L216" s="2"/>
    </row>
    <row r="217" spans="7:12">
      <c r="G217" s="2"/>
      <c r="H217" s="3"/>
      <c r="I217" s="3"/>
      <c r="L217" s="2"/>
    </row>
    <row r="218" spans="7:12">
      <c r="G218" s="2"/>
      <c r="H218" s="3"/>
      <c r="I218" s="3"/>
      <c r="L218" s="2"/>
    </row>
    <row r="219" spans="7:12">
      <c r="G219" s="2"/>
      <c r="H219" s="3"/>
      <c r="I219" s="3"/>
      <c r="L219" s="2"/>
    </row>
    <row r="220" spans="7:12">
      <c r="G220" s="2"/>
      <c r="H220" s="3"/>
      <c r="I220" s="3"/>
      <c r="L220" s="2"/>
    </row>
    <row r="221" spans="7:12">
      <c r="G221" s="2"/>
      <c r="H221" s="3"/>
      <c r="I221" s="3"/>
      <c r="L221" s="2"/>
    </row>
    <row r="222" spans="7:12">
      <c r="G222" s="2"/>
      <c r="H222" s="3"/>
      <c r="I222" s="3"/>
      <c r="L222" s="2"/>
    </row>
    <row r="223" spans="7:12">
      <c r="G223" s="2"/>
      <c r="H223" s="3"/>
      <c r="I223" s="3"/>
      <c r="L223" s="2"/>
    </row>
    <row r="224" spans="7:12">
      <c r="G224" s="2"/>
      <c r="H224" s="3"/>
      <c r="I224" s="3"/>
      <c r="L224" s="2"/>
    </row>
    <row r="225" spans="7:12">
      <c r="G225" s="2"/>
      <c r="H225" s="3"/>
      <c r="I225" s="3"/>
      <c r="L225" s="2"/>
    </row>
    <row r="226" spans="7:12">
      <c r="G226" s="2"/>
      <c r="H226" s="3"/>
      <c r="I226" s="3"/>
      <c r="L226" s="2"/>
    </row>
    <row r="227" spans="7:12">
      <c r="G227" s="2"/>
      <c r="H227" s="3"/>
      <c r="I227" s="3"/>
      <c r="L227" s="2"/>
    </row>
    <row r="228" spans="7:12">
      <c r="G228" s="2"/>
      <c r="H228" s="3"/>
      <c r="I228" s="3"/>
      <c r="L228" s="2"/>
    </row>
    <row r="229" spans="7:12">
      <c r="G229" s="2"/>
      <c r="H229" s="3"/>
      <c r="I229" s="3"/>
      <c r="L229" s="2"/>
    </row>
    <row r="230" spans="7:12">
      <c r="G230" s="2"/>
      <c r="H230" s="3"/>
      <c r="I230" s="3"/>
      <c r="L230" s="2"/>
    </row>
    <row r="231" spans="7:12">
      <c r="G231" s="2"/>
      <c r="H231" s="3"/>
      <c r="I231" s="3"/>
      <c r="L231" s="2"/>
    </row>
    <row r="232" spans="7:12">
      <c r="G232" s="2"/>
      <c r="H232" s="3"/>
      <c r="I232" s="3"/>
      <c r="L232" s="2"/>
    </row>
    <row r="233" spans="7:12">
      <c r="G233" s="2"/>
      <c r="H233" s="3"/>
      <c r="I233" s="3"/>
      <c r="L233" s="2"/>
    </row>
    <row r="234" spans="7:12">
      <c r="G234" s="2"/>
      <c r="H234" s="3"/>
      <c r="I234" s="3"/>
      <c r="L234" s="2"/>
    </row>
    <row r="235" spans="7:12">
      <c r="G235" s="2"/>
      <c r="H235" s="3"/>
      <c r="I235" s="3"/>
      <c r="L235" s="2"/>
    </row>
    <row r="236" spans="7:12">
      <c r="G236" s="2"/>
      <c r="H236" s="3"/>
      <c r="I236" s="3"/>
      <c r="L236" s="2"/>
    </row>
    <row r="237" spans="7:12">
      <c r="G237" s="2"/>
      <c r="H237" s="3"/>
      <c r="I237" s="3"/>
      <c r="L237" s="2"/>
    </row>
    <row r="238" spans="7:12">
      <c r="G238" s="2"/>
      <c r="H238" s="3"/>
      <c r="I238" s="3"/>
      <c r="L238" s="2"/>
    </row>
    <row r="239" spans="7:12">
      <c r="G239" s="2"/>
      <c r="H239" s="3"/>
      <c r="I239" s="3"/>
      <c r="L239" s="2"/>
    </row>
    <row r="240" spans="7:12">
      <c r="G240" s="2"/>
      <c r="H240" s="3"/>
      <c r="I240" s="3"/>
      <c r="L240" s="2"/>
    </row>
    <row r="241" spans="7:12">
      <c r="G241" s="2"/>
      <c r="H241" s="3"/>
      <c r="I241" s="3"/>
      <c r="L241" s="2"/>
    </row>
    <row r="242" spans="7:12">
      <c r="G242" s="2"/>
      <c r="H242" s="3"/>
      <c r="I242" s="3"/>
      <c r="L242" s="2"/>
    </row>
    <row r="243" spans="7:12">
      <c r="G243" s="2"/>
      <c r="H243" s="3"/>
      <c r="I243" s="3"/>
      <c r="L243" s="2"/>
    </row>
    <row r="244" spans="7:12">
      <c r="G244" s="2"/>
      <c r="H244" s="3"/>
      <c r="I244" s="3"/>
      <c r="L244" s="2"/>
    </row>
    <row r="245" spans="7:12">
      <c r="G245" s="2"/>
      <c r="H245" s="3"/>
      <c r="I245" s="3"/>
      <c r="L245" s="2"/>
    </row>
    <row r="246" spans="7:12">
      <c r="G246" s="2"/>
      <c r="H246" s="3"/>
      <c r="I246" s="3"/>
      <c r="L246" s="2"/>
    </row>
    <row r="247" spans="7:12">
      <c r="G247" s="2"/>
      <c r="H247" s="3"/>
      <c r="I247" s="3"/>
      <c r="L247" s="2"/>
    </row>
    <row r="248" spans="7:12">
      <c r="G248" s="2"/>
      <c r="H248" s="3"/>
      <c r="I248" s="3"/>
      <c r="L248" s="2"/>
    </row>
    <row r="249" spans="7:12">
      <c r="G249" s="2"/>
      <c r="H249" s="3"/>
      <c r="I249" s="3"/>
      <c r="L249" s="2"/>
    </row>
    <row r="250" spans="7:12">
      <c r="G250" s="2"/>
      <c r="H250" s="3"/>
      <c r="I250" s="3"/>
      <c r="L250" s="2"/>
    </row>
    <row r="251" spans="7:12">
      <c r="G251" s="2"/>
      <c r="H251" s="3"/>
      <c r="I251" s="3"/>
      <c r="L251" s="2"/>
    </row>
    <row r="252" spans="7:12">
      <c r="G252" s="2"/>
      <c r="H252" s="3"/>
      <c r="I252" s="3"/>
      <c r="L252" s="2"/>
    </row>
    <row r="253" spans="7:12">
      <c r="G253" s="2"/>
      <c r="H253" s="3"/>
      <c r="I253" s="3"/>
      <c r="L253" s="2"/>
    </row>
    <row r="254" spans="7:12">
      <c r="G254" s="2"/>
      <c r="H254" s="3"/>
      <c r="I254" s="3"/>
      <c r="L254" s="2"/>
    </row>
    <row r="255" spans="7:12">
      <c r="G255" s="2"/>
      <c r="H255" s="3"/>
      <c r="I255" s="3"/>
      <c r="L255" s="2"/>
    </row>
    <row r="256" spans="7:12">
      <c r="G256" s="2"/>
      <c r="H256" s="3"/>
      <c r="I256" s="3"/>
      <c r="L256" s="2"/>
    </row>
    <row r="257" spans="7:12">
      <c r="G257" s="2"/>
      <c r="H257" s="3"/>
      <c r="I257" s="3"/>
      <c r="L257" s="2"/>
    </row>
    <row r="258" spans="7:12">
      <c r="G258" s="2"/>
      <c r="H258" s="3"/>
      <c r="I258" s="3"/>
      <c r="L258" s="2"/>
    </row>
    <row r="259" spans="7:12">
      <c r="G259" s="2"/>
      <c r="H259" s="3"/>
      <c r="I259" s="3"/>
      <c r="L259" s="2"/>
    </row>
    <row r="260" spans="7:12">
      <c r="G260" s="2"/>
      <c r="H260" s="3"/>
      <c r="I260" s="3"/>
      <c r="L260" s="2"/>
    </row>
    <row r="261" spans="7:12">
      <c r="G261" s="2"/>
      <c r="H261" s="3"/>
      <c r="I261" s="3"/>
      <c r="L261" s="2"/>
    </row>
    <row r="262" spans="7:12">
      <c r="G262" s="2"/>
      <c r="H262" s="3"/>
      <c r="I262" s="3"/>
      <c r="L262" s="2"/>
    </row>
    <row r="263" spans="7:12">
      <c r="G263" s="2"/>
      <c r="H263" s="3"/>
      <c r="I263" s="3"/>
      <c r="L263" s="2"/>
    </row>
    <row r="264" spans="7:12">
      <c r="G264" s="2"/>
      <c r="H264" s="3"/>
      <c r="I264" s="3"/>
      <c r="L264" s="2"/>
    </row>
    <row r="265" spans="7:12">
      <c r="G265" s="2"/>
      <c r="H265" s="3"/>
      <c r="I265" s="3"/>
      <c r="L265" s="2"/>
    </row>
    <row r="266" spans="7:12">
      <c r="G266" s="2"/>
      <c r="H266" s="3"/>
      <c r="I266" s="3"/>
      <c r="L266" s="2"/>
    </row>
    <row r="267" spans="7:12">
      <c r="G267" s="2"/>
      <c r="H267" s="3"/>
      <c r="I267" s="3"/>
      <c r="L267" s="2"/>
    </row>
    <row r="268" spans="7:12">
      <c r="G268" s="2"/>
      <c r="H268" s="3"/>
      <c r="I268" s="3"/>
      <c r="L268" s="2"/>
    </row>
    <row r="269" spans="7:12">
      <c r="G269" s="2"/>
      <c r="H269" s="3"/>
      <c r="I269" s="3"/>
      <c r="L269" s="2"/>
    </row>
    <row r="270" spans="7:12">
      <c r="G270" s="2"/>
      <c r="H270" s="3"/>
      <c r="I270" s="3"/>
      <c r="L270" s="2"/>
    </row>
    <row r="271" spans="7:12">
      <c r="G271" s="2"/>
      <c r="H271" s="3"/>
      <c r="I271" s="3"/>
      <c r="L271" s="2"/>
    </row>
    <row r="272" spans="7:12">
      <c r="G272" s="2"/>
      <c r="H272" s="3"/>
      <c r="I272" s="3"/>
      <c r="L272" s="2"/>
    </row>
    <row r="273" spans="7:12">
      <c r="G273" s="2"/>
      <c r="H273" s="3"/>
      <c r="I273" s="3"/>
      <c r="L273" s="2"/>
    </row>
    <row r="274" spans="7:12">
      <c r="G274" s="2"/>
      <c r="H274" s="3"/>
      <c r="I274" s="3"/>
      <c r="L274" s="2"/>
    </row>
    <row r="275" spans="7:12">
      <c r="G275" s="2"/>
      <c r="H275" s="3"/>
      <c r="I275" s="3"/>
      <c r="L275" s="2"/>
    </row>
    <row r="276" spans="7:12">
      <c r="G276" s="2"/>
      <c r="H276" s="3"/>
      <c r="I276" s="3"/>
      <c r="L276" s="2"/>
    </row>
    <row r="277" spans="7:12">
      <c r="G277" s="2"/>
      <c r="H277" s="3"/>
      <c r="I277" s="3"/>
      <c r="L277" s="2"/>
    </row>
    <row r="278" spans="7:12">
      <c r="G278" s="2"/>
      <c r="H278" s="3"/>
      <c r="I278" s="3"/>
      <c r="L278" s="2"/>
    </row>
    <row r="279" spans="7:12">
      <c r="G279" s="2"/>
      <c r="H279" s="3"/>
      <c r="I279" s="3"/>
      <c r="L279" s="2"/>
    </row>
    <row r="280" spans="7:12">
      <c r="G280" s="2"/>
      <c r="H280" s="3"/>
      <c r="I280" s="3"/>
      <c r="L280" s="2"/>
    </row>
    <row r="281" spans="7:12">
      <c r="G281" s="2"/>
      <c r="H281" s="3"/>
      <c r="I281" s="3"/>
      <c r="L281" s="2"/>
    </row>
    <row r="282" spans="7:12">
      <c r="G282" s="2"/>
      <c r="H282" s="3"/>
      <c r="I282" s="3"/>
      <c r="L282" s="2"/>
    </row>
    <row r="283" spans="7:12">
      <c r="G283" s="2"/>
      <c r="H283" s="3"/>
      <c r="I283" s="3"/>
      <c r="L283" s="2"/>
    </row>
    <row r="284" spans="7:12">
      <c r="G284" s="2"/>
      <c r="H284" s="3"/>
      <c r="I284" s="3"/>
      <c r="L284" s="2"/>
    </row>
    <row r="285" spans="7:12">
      <c r="G285" s="2"/>
      <c r="H285" s="3"/>
      <c r="I285" s="3"/>
      <c r="L285" s="2"/>
    </row>
    <row r="286" spans="7:12">
      <c r="G286" s="2"/>
      <c r="H286" s="3"/>
      <c r="I286" s="3"/>
      <c r="L286" s="2"/>
    </row>
    <row r="287" spans="7:12">
      <c r="G287" s="2"/>
      <c r="H287" s="3"/>
      <c r="I287" s="3"/>
      <c r="L287" s="2"/>
    </row>
    <row r="288" spans="7:12">
      <c r="G288" s="2"/>
      <c r="H288" s="3"/>
      <c r="I288" s="3"/>
      <c r="L288" s="2"/>
    </row>
    <row r="289" spans="7:12">
      <c r="G289" s="2"/>
      <c r="H289" s="3"/>
      <c r="I289" s="3"/>
      <c r="L289" s="2"/>
    </row>
    <row r="290" spans="7:12">
      <c r="G290" s="2"/>
      <c r="H290" s="3"/>
      <c r="I290" s="3"/>
      <c r="L290" s="2"/>
    </row>
    <row r="291" spans="7:12">
      <c r="G291" s="2"/>
      <c r="H291" s="3"/>
      <c r="I291" s="3"/>
      <c r="L291" s="2"/>
    </row>
    <row r="292" spans="7:12">
      <c r="G292" s="2"/>
      <c r="H292" s="3"/>
      <c r="I292" s="3"/>
      <c r="L292" s="2"/>
    </row>
    <row r="293" spans="7:12">
      <c r="G293" s="2"/>
      <c r="H293" s="3"/>
      <c r="I293" s="3"/>
      <c r="L293" s="2"/>
    </row>
    <row r="294" spans="7:12">
      <c r="G294" s="2"/>
      <c r="H294" s="3"/>
      <c r="I294" s="3"/>
      <c r="L294" s="2"/>
    </row>
    <row r="295" spans="7:12">
      <c r="G295" s="2"/>
      <c r="H295" s="3"/>
      <c r="I295" s="3"/>
      <c r="L295" s="2"/>
    </row>
    <row r="296" spans="7:12">
      <c r="G296" s="2"/>
      <c r="H296" s="3"/>
      <c r="I296" s="3"/>
      <c r="L296" s="2"/>
    </row>
    <row r="297" spans="7:12">
      <c r="G297" s="2"/>
      <c r="H297" s="3"/>
      <c r="I297" s="3"/>
      <c r="L297" s="2"/>
    </row>
    <row r="298" spans="7:12">
      <c r="G298" s="2"/>
      <c r="H298" s="3"/>
      <c r="I298" s="3"/>
      <c r="L298" s="2"/>
    </row>
    <row r="299" spans="7:12">
      <c r="G299" s="2"/>
      <c r="H299" s="3"/>
      <c r="I299" s="3"/>
      <c r="L299" s="2"/>
    </row>
    <row r="300" spans="7:12">
      <c r="G300" s="2"/>
      <c r="H300" s="3"/>
      <c r="I300" s="3"/>
      <c r="L300" s="2"/>
    </row>
    <row r="301" spans="7:12">
      <c r="G301" s="2"/>
      <c r="H301" s="3"/>
      <c r="I301" s="3"/>
      <c r="L301" s="2"/>
    </row>
    <row r="302" spans="7:12">
      <c r="G302" s="2"/>
      <c r="H302" s="3"/>
      <c r="I302" s="3"/>
      <c r="L302" s="2"/>
    </row>
    <row r="303" spans="7:12">
      <c r="G303" s="2"/>
      <c r="H303" s="3"/>
      <c r="I303" s="3"/>
      <c r="L303" s="2"/>
    </row>
    <row r="304" spans="7:12">
      <c r="G304" s="2"/>
      <c r="H304" s="3"/>
      <c r="I304" s="3"/>
      <c r="L304" s="2"/>
    </row>
    <row r="305" spans="7:12">
      <c r="G305" s="2"/>
      <c r="H305" s="3"/>
      <c r="I305" s="3"/>
      <c r="L305" s="2"/>
    </row>
    <row r="306" spans="7:12">
      <c r="G306" s="2"/>
      <c r="H306" s="3"/>
      <c r="I306" s="3"/>
      <c r="L306" s="2"/>
    </row>
    <row r="307" spans="7:12">
      <c r="G307" s="2"/>
      <c r="H307" s="3"/>
      <c r="I307" s="3"/>
      <c r="L307" s="2"/>
    </row>
    <row r="308" spans="7:12">
      <c r="G308" s="2"/>
      <c r="H308" s="3"/>
      <c r="I308" s="3"/>
      <c r="L308" s="2"/>
    </row>
    <row r="309" spans="7:12">
      <c r="G309" s="2"/>
      <c r="H309" s="3"/>
      <c r="I309" s="3"/>
      <c r="L309" s="2"/>
    </row>
    <row r="310" spans="7:12">
      <c r="G310" s="2"/>
      <c r="H310" s="3"/>
      <c r="I310" s="3"/>
      <c r="L310" s="2"/>
    </row>
    <row r="311" spans="7:12">
      <c r="G311" s="2"/>
      <c r="H311" s="3"/>
      <c r="I311" s="3"/>
      <c r="L311" s="2"/>
    </row>
    <row r="312" spans="7:12">
      <c r="G312" s="2"/>
      <c r="H312" s="3"/>
      <c r="I312" s="3"/>
      <c r="L312" s="2"/>
    </row>
    <row r="313" spans="7:12">
      <c r="G313" s="2"/>
      <c r="H313" s="3"/>
      <c r="I313" s="3"/>
      <c r="L313" s="2"/>
    </row>
    <row r="314" spans="7:12">
      <c r="G314" s="2"/>
      <c r="H314" s="3"/>
      <c r="I314" s="3"/>
      <c r="L314" s="2"/>
    </row>
    <row r="315" spans="7:12">
      <c r="G315" s="2"/>
      <c r="H315" s="3"/>
      <c r="I315" s="3"/>
      <c r="L315" s="2"/>
    </row>
    <row r="316" spans="7:12">
      <c r="G316" s="2"/>
      <c r="H316" s="3"/>
      <c r="I316" s="3"/>
      <c r="L316" s="2"/>
    </row>
    <row r="317" spans="7:12">
      <c r="G317" s="2"/>
      <c r="H317" s="3"/>
      <c r="I317" s="3"/>
      <c r="L317" s="2"/>
    </row>
    <row r="318" spans="7:12">
      <c r="G318" s="2"/>
      <c r="H318" s="3"/>
      <c r="I318" s="3"/>
      <c r="L318" s="2"/>
    </row>
    <row r="319" spans="7:12">
      <c r="G319" s="2"/>
      <c r="H319" s="3"/>
      <c r="I319" s="3"/>
      <c r="L319" s="2"/>
    </row>
    <row r="320" spans="7:12">
      <c r="G320" s="2"/>
      <c r="H320" s="3"/>
      <c r="I320" s="3"/>
      <c r="L320" s="2"/>
    </row>
    <row r="321" spans="7:12">
      <c r="G321" s="2"/>
      <c r="H321" s="3"/>
      <c r="I321" s="3"/>
      <c r="L321" s="2"/>
    </row>
    <row r="322" spans="7:12">
      <c r="G322" s="2"/>
      <c r="H322" s="3"/>
      <c r="I322" s="3"/>
      <c r="L322" s="2"/>
    </row>
    <row r="323" spans="7:12">
      <c r="G323" s="2"/>
      <c r="H323" s="3"/>
      <c r="I323" s="3"/>
      <c r="L323" s="2"/>
    </row>
    <row r="324" spans="7:12">
      <c r="G324" s="2"/>
      <c r="H324" s="3"/>
      <c r="I324" s="3"/>
      <c r="L324" s="2"/>
    </row>
    <row r="325" spans="7:12">
      <c r="G325" s="2"/>
      <c r="H325" s="3"/>
      <c r="I325" s="3"/>
      <c r="L325" s="2"/>
    </row>
    <row r="326" spans="7:12">
      <c r="G326" s="2"/>
      <c r="H326" s="3"/>
      <c r="I326" s="3"/>
      <c r="L326" s="2"/>
    </row>
    <row r="327" spans="7:12">
      <c r="G327" s="2"/>
      <c r="H327" s="3"/>
      <c r="I327" s="3"/>
      <c r="L327" s="2"/>
    </row>
    <row r="328" spans="7:12">
      <c r="G328" s="2"/>
      <c r="H328" s="3"/>
      <c r="I328" s="3"/>
      <c r="L328" s="2"/>
    </row>
    <row r="329" spans="7:12">
      <c r="G329" s="2"/>
      <c r="H329" s="3"/>
      <c r="I329" s="3"/>
      <c r="L329" s="2"/>
    </row>
    <row r="330" spans="7:12">
      <c r="G330" s="2"/>
      <c r="H330" s="3"/>
      <c r="I330" s="3"/>
      <c r="L330" s="2"/>
    </row>
    <row r="331" spans="7:12">
      <c r="G331" s="2"/>
      <c r="H331" s="3"/>
      <c r="I331" s="3"/>
      <c r="L331" s="2"/>
    </row>
    <row r="332" spans="7:12">
      <c r="G332" s="2"/>
      <c r="H332" s="3"/>
      <c r="I332" s="3"/>
      <c r="L332" s="2"/>
    </row>
    <row r="333" spans="7:12">
      <c r="G333" s="2"/>
      <c r="H333" s="3"/>
      <c r="I333" s="3"/>
      <c r="L333" s="2"/>
    </row>
    <row r="334" spans="7:12">
      <c r="G334" s="2"/>
      <c r="H334" s="3"/>
      <c r="I334" s="3"/>
      <c r="L334" s="2"/>
    </row>
    <row r="335" spans="7:12">
      <c r="G335" s="2"/>
      <c r="H335" s="3"/>
      <c r="I335" s="3"/>
      <c r="L335" s="2"/>
    </row>
    <row r="336" spans="7:12">
      <c r="G336" s="2"/>
      <c r="H336" s="3"/>
      <c r="I336" s="3"/>
      <c r="L336" s="2"/>
    </row>
    <row r="337" spans="7:12">
      <c r="G337" s="2"/>
      <c r="H337" s="3"/>
      <c r="I337" s="3"/>
      <c r="L337" s="2"/>
    </row>
    <row r="338" spans="7:12">
      <c r="G338" s="2"/>
      <c r="H338" s="3"/>
      <c r="I338" s="3"/>
      <c r="L338" s="2"/>
    </row>
    <row r="339" spans="7:12">
      <c r="G339" s="2"/>
      <c r="H339" s="3"/>
      <c r="I339" s="3"/>
      <c r="L339" s="2"/>
    </row>
    <row r="340" spans="7:12">
      <c r="G340" s="2"/>
      <c r="H340" s="3"/>
      <c r="I340" s="3"/>
      <c r="L340" s="2"/>
    </row>
    <row r="341" spans="7:12">
      <c r="G341" s="2"/>
      <c r="H341" s="3"/>
      <c r="I341" s="3"/>
      <c r="L341" s="2"/>
    </row>
    <row r="342" spans="7:12">
      <c r="G342" s="2"/>
      <c r="H342" s="3"/>
      <c r="I342" s="3"/>
      <c r="L342" s="2"/>
    </row>
    <row r="343" spans="7:12">
      <c r="G343" s="2"/>
      <c r="H343" s="3"/>
      <c r="I343" s="3"/>
      <c r="L343" s="2"/>
    </row>
    <row r="344" spans="7:12">
      <c r="G344" s="2"/>
      <c r="H344" s="3"/>
      <c r="I344" s="3"/>
      <c r="L344" s="2"/>
    </row>
    <row r="345" spans="7:12">
      <c r="G345" s="2"/>
      <c r="H345" s="3"/>
      <c r="I345" s="3"/>
      <c r="L345" s="2"/>
    </row>
    <row r="346" spans="7:12">
      <c r="G346" s="2"/>
      <c r="H346" s="3"/>
      <c r="I346" s="3"/>
      <c r="L346" s="2"/>
    </row>
    <row r="347" spans="7:12">
      <c r="G347" s="2"/>
      <c r="H347" s="3"/>
      <c r="I347" s="3"/>
      <c r="L347" s="2"/>
    </row>
    <row r="348" spans="7:12">
      <c r="G348" s="2"/>
      <c r="H348" s="3"/>
      <c r="I348" s="3"/>
      <c r="L348" s="2"/>
    </row>
    <row r="349" spans="7:12">
      <c r="G349" s="2"/>
      <c r="H349" s="3"/>
      <c r="I349" s="3"/>
      <c r="L349" s="2"/>
    </row>
    <row r="350" spans="7:12">
      <c r="G350" s="2"/>
      <c r="H350" s="3"/>
      <c r="I350" s="3"/>
      <c r="L350" s="2"/>
    </row>
    <row r="351" spans="7:12">
      <c r="G351" s="2"/>
      <c r="H351" s="3"/>
      <c r="I351" s="3"/>
      <c r="L351" s="2"/>
    </row>
    <row r="352" spans="7:12">
      <c r="G352" s="2"/>
      <c r="H352" s="3"/>
      <c r="I352" s="3"/>
      <c r="L352" s="2"/>
    </row>
    <row r="353" spans="7:12">
      <c r="G353" s="2"/>
      <c r="H353" s="3"/>
      <c r="I353" s="3"/>
      <c r="L353" s="2"/>
    </row>
    <row r="354" spans="7:12">
      <c r="G354" s="2"/>
      <c r="H354" s="3"/>
      <c r="I354" s="3"/>
      <c r="L354" s="2"/>
    </row>
    <row r="355" spans="7:12">
      <c r="G355" s="2"/>
      <c r="H355" s="3"/>
      <c r="I355" s="3"/>
      <c r="L355" s="2"/>
    </row>
    <row r="356" spans="7:12">
      <c r="G356" s="2"/>
      <c r="H356" s="3"/>
      <c r="I356" s="3"/>
      <c r="L356" s="2"/>
    </row>
    <row r="357" spans="7:12">
      <c r="G357" s="2"/>
      <c r="H357" s="3"/>
      <c r="I357" s="3"/>
      <c r="L357" s="2"/>
    </row>
    <row r="358" spans="7:12">
      <c r="G358" s="2"/>
      <c r="H358" s="3"/>
      <c r="I358" s="3"/>
      <c r="L358" s="2"/>
    </row>
    <row r="359" spans="7:12">
      <c r="G359" s="2"/>
      <c r="H359" s="3"/>
      <c r="I359" s="3"/>
      <c r="L359" s="2"/>
    </row>
    <row r="360" spans="7:12">
      <c r="G360" s="2"/>
      <c r="H360" s="3"/>
      <c r="I360" s="3"/>
      <c r="L360" s="2"/>
    </row>
    <row r="361" spans="7:12">
      <c r="G361" s="2"/>
      <c r="H361" s="3"/>
      <c r="I361" s="3"/>
      <c r="L361" s="2"/>
    </row>
    <row r="362" spans="7:12">
      <c r="G362" s="2"/>
      <c r="H362" s="3"/>
      <c r="I362" s="3"/>
      <c r="L362" s="2"/>
    </row>
    <row r="363" spans="7:12">
      <c r="G363" s="2"/>
      <c r="H363" s="3"/>
      <c r="I363" s="3"/>
      <c r="L363" s="2"/>
    </row>
    <row r="364" spans="7:12">
      <c r="G364" s="2"/>
      <c r="H364" s="3"/>
      <c r="I364" s="3"/>
      <c r="L364" s="2"/>
    </row>
    <row r="365" spans="7:12">
      <c r="G365" s="2"/>
      <c r="H365" s="3"/>
      <c r="I365" s="3"/>
      <c r="L365" s="2"/>
    </row>
    <row r="366" spans="7:12">
      <c r="G366" s="2"/>
      <c r="H366" s="3"/>
      <c r="I366" s="3"/>
      <c r="L366" s="2"/>
    </row>
    <row r="367" spans="7:12">
      <c r="G367" s="2"/>
      <c r="H367" s="3"/>
      <c r="I367" s="3"/>
      <c r="L367" s="2"/>
    </row>
    <row r="368" spans="7:12">
      <c r="G368" s="2"/>
      <c r="H368" s="3"/>
      <c r="I368" s="3"/>
      <c r="L368" s="2"/>
    </row>
    <row r="369" spans="7:12">
      <c r="G369" s="2"/>
      <c r="H369" s="3"/>
      <c r="I369" s="3"/>
      <c r="L369" s="2"/>
    </row>
    <row r="370" spans="7:12">
      <c r="G370" s="2"/>
      <c r="H370" s="3"/>
      <c r="I370" s="3"/>
      <c r="L370" s="2"/>
    </row>
    <row r="371" spans="7:12">
      <c r="G371" s="2"/>
      <c r="H371" s="3"/>
      <c r="I371" s="3"/>
      <c r="L371" s="2"/>
    </row>
    <row r="372" spans="7:12">
      <c r="G372" s="2"/>
      <c r="H372" s="3"/>
      <c r="I372" s="3"/>
      <c r="L372" s="2"/>
    </row>
    <row r="373" spans="7:12">
      <c r="G373" s="2"/>
      <c r="H373" s="3"/>
      <c r="I373" s="3"/>
      <c r="L373" s="2"/>
    </row>
    <row r="374" spans="7:12">
      <c r="G374" s="2"/>
      <c r="H374" s="3"/>
      <c r="I374" s="3"/>
      <c r="L374" s="2"/>
    </row>
    <row r="375" spans="7:12">
      <c r="G375" s="2"/>
      <c r="H375" s="3"/>
      <c r="I375" s="3"/>
      <c r="L375" s="2"/>
    </row>
    <row r="376" spans="7:12">
      <c r="G376" s="2"/>
      <c r="H376" s="3"/>
      <c r="I376" s="3"/>
      <c r="L376" s="2"/>
    </row>
    <row r="377" spans="7:12">
      <c r="G377" s="2"/>
      <c r="H377" s="3"/>
      <c r="I377" s="3"/>
      <c r="L377" s="2"/>
    </row>
    <row r="378" spans="7:12">
      <c r="G378" s="2"/>
      <c r="H378" s="3"/>
      <c r="I378" s="3"/>
      <c r="L378" s="2"/>
    </row>
    <row r="379" spans="7:12">
      <c r="G379" s="2"/>
      <c r="H379" s="3"/>
      <c r="I379" s="3"/>
      <c r="L379" s="2"/>
    </row>
    <row r="380" spans="7:12">
      <c r="G380" s="2"/>
      <c r="H380" s="3"/>
      <c r="I380" s="3"/>
      <c r="L380" s="2"/>
    </row>
    <row r="381" spans="7:12">
      <c r="G381" s="2"/>
      <c r="H381" s="3"/>
      <c r="I381" s="3"/>
      <c r="L381" s="2"/>
    </row>
    <row r="382" spans="7:12">
      <c r="G382" s="2"/>
      <c r="H382" s="3"/>
      <c r="I382" s="3"/>
      <c r="L382" s="2"/>
    </row>
    <row r="383" spans="7:12">
      <c r="G383" s="2"/>
      <c r="H383" s="3"/>
      <c r="I383" s="3"/>
      <c r="L383" s="2"/>
    </row>
    <row r="384" spans="7:12">
      <c r="G384" s="2"/>
      <c r="H384" s="3"/>
      <c r="I384" s="3"/>
      <c r="L384" s="2"/>
    </row>
    <row r="385" spans="7:12">
      <c r="G385" s="2"/>
      <c r="H385" s="3"/>
      <c r="I385" s="3"/>
      <c r="L385" s="2"/>
    </row>
    <row r="386" spans="7:12">
      <c r="G386" s="2"/>
      <c r="H386" s="3"/>
      <c r="I386" s="3"/>
      <c r="L386" s="2"/>
    </row>
    <row r="387" spans="7:12">
      <c r="G387" s="2"/>
      <c r="H387" s="3"/>
      <c r="I387" s="3"/>
      <c r="L387" s="2"/>
    </row>
    <row r="388" spans="7:12">
      <c r="G388" s="2"/>
      <c r="H388" s="3"/>
      <c r="I388" s="3"/>
      <c r="L388" s="2"/>
    </row>
    <row r="389" spans="7:12">
      <c r="G389" s="2"/>
      <c r="H389" s="3"/>
      <c r="I389" s="3"/>
      <c r="L389" s="2"/>
    </row>
    <row r="390" spans="7:12">
      <c r="G390" s="2"/>
      <c r="H390" s="3"/>
      <c r="I390" s="3"/>
      <c r="L390" s="2"/>
    </row>
    <row r="391" spans="7:12">
      <c r="G391" s="2"/>
      <c r="H391" s="3"/>
      <c r="I391" s="3"/>
      <c r="L391" s="2"/>
    </row>
    <row r="392" spans="7:12">
      <c r="G392" s="2"/>
      <c r="H392" s="3"/>
      <c r="I392" s="3"/>
      <c r="L392" s="2"/>
    </row>
    <row r="393" spans="7:12">
      <c r="G393" s="2"/>
      <c r="H393" s="3"/>
      <c r="I393" s="3"/>
      <c r="L393" s="2"/>
    </row>
    <row r="394" spans="7:12">
      <c r="G394" s="2"/>
      <c r="H394" s="3"/>
      <c r="I394" s="3"/>
      <c r="L394" s="2"/>
    </row>
    <row r="395" spans="7:12">
      <c r="G395" s="2"/>
      <c r="H395" s="3"/>
      <c r="I395" s="3"/>
      <c r="L395" s="2"/>
    </row>
    <row r="396" spans="7:12">
      <c r="G396" s="2"/>
      <c r="H396" s="3"/>
      <c r="I396" s="3"/>
      <c r="L396" s="2"/>
    </row>
    <row r="397" spans="7:12">
      <c r="G397" s="2"/>
      <c r="H397" s="3"/>
      <c r="I397" s="3"/>
      <c r="L397" s="2"/>
    </row>
    <row r="398" spans="7:12">
      <c r="G398" s="2"/>
      <c r="H398" s="3"/>
      <c r="I398" s="3"/>
      <c r="L398" s="2"/>
    </row>
    <row r="399" spans="7:12">
      <c r="G399" s="2"/>
      <c r="H399" s="3"/>
      <c r="I399" s="3"/>
      <c r="L399" s="2"/>
    </row>
    <row r="400" spans="7:12">
      <c r="G400" s="2"/>
      <c r="H400" s="3"/>
      <c r="I400" s="3"/>
      <c r="L400" s="2"/>
    </row>
    <row r="401" spans="7:12">
      <c r="G401" s="2"/>
      <c r="H401" s="3"/>
      <c r="I401" s="3"/>
      <c r="L401" s="2"/>
    </row>
    <row r="402" spans="7:12">
      <c r="G402" s="2"/>
      <c r="H402" s="3"/>
      <c r="I402" s="3"/>
      <c r="L402" s="2"/>
    </row>
    <row r="403" spans="7:12">
      <c r="G403" s="2"/>
      <c r="H403" s="3"/>
      <c r="I403" s="3"/>
      <c r="L403" s="2"/>
    </row>
    <row r="404" spans="7:12">
      <c r="G404" s="2"/>
      <c r="H404" s="3"/>
      <c r="I404" s="3"/>
      <c r="L404" s="2"/>
    </row>
    <row r="405" spans="7:12">
      <c r="G405" s="2"/>
      <c r="H405" s="3"/>
      <c r="I405" s="3"/>
      <c r="L405" s="2"/>
    </row>
    <row r="406" spans="7:12">
      <c r="G406" s="2"/>
      <c r="H406" s="3"/>
      <c r="I406" s="3"/>
      <c r="L406" s="2"/>
    </row>
    <row r="407" spans="7:12">
      <c r="G407" s="2"/>
      <c r="H407" s="3"/>
      <c r="I407" s="3"/>
      <c r="L407" s="2"/>
    </row>
    <row r="408" spans="7:12">
      <c r="G408" s="2"/>
      <c r="H408" s="3"/>
      <c r="I408" s="3"/>
      <c r="L408" s="2"/>
    </row>
    <row r="409" spans="7:12">
      <c r="G409" s="2"/>
      <c r="H409" s="3"/>
      <c r="I409" s="3"/>
      <c r="L409" s="2"/>
    </row>
    <row r="410" spans="7:12">
      <c r="G410" s="2"/>
      <c r="H410" s="3"/>
      <c r="I410" s="3"/>
      <c r="L410" s="2"/>
    </row>
    <row r="411" spans="7:12">
      <c r="G411" s="2"/>
      <c r="H411" s="3"/>
      <c r="I411" s="3"/>
      <c r="L411" s="2"/>
    </row>
    <row r="412" spans="7:12">
      <c r="G412" s="2"/>
      <c r="H412" s="3"/>
      <c r="I412" s="3"/>
      <c r="L412" s="2"/>
    </row>
    <row r="413" spans="7:12">
      <c r="G413" s="2"/>
      <c r="H413" s="3"/>
      <c r="I413" s="3"/>
      <c r="L413" s="2"/>
    </row>
    <row r="414" spans="7:12">
      <c r="G414" s="2"/>
      <c r="H414" s="3"/>
      <c r="I414" s="3"/>
      <c r="L414" s="2"/>
    </row>
    <row r="415" spans="7:12">
      <c r="G415" s="2"/>
      <c r="H415" s="3"/>
      <c r="I415" s="3"/>
      <c r="L415" s="2"/>
    </row>
    <row r="416" spans="7:12">
      <c r="G416" s="2"/>
      <c r="H416" s="3"/>
      <c r="I416" s="3"/>
      <c r="L416" s="2"/>
    </row>
    <row r="417" spans="7:12">
      <c r="G417" s="2"/>
      <c r="H417" s="3"/>
      <c r="I417" s="3"/>
      <c r="L417" s="2"/>
    </row>
    <row r="418" spans="7:12">
      <c r="G418" s="2"/>
      <c r="H418" s="3"/>
      <c r="I418" s="3"/>
      <c r="L418" s="2"/>
    </row>
    <row r="419" spans="7:12">
      <c r="G419" s="2"/>
      <c r="H419" s="3"/>
      <c r="I419" s="3"/>
      <c r="L419" s="2"/>
    </row>
    <row r="420" spans="7:12">
      <c r="G420" s="2"/>
      <c r="H420" s="3"/>
      <c r="I420" s="3"/>
      <c r="L420" s="2"/>
    </row>
    <row r="421" spans="7:12">
      <c r="G421" s="2"/>
      <c r="H421" s="3"/>
      <c r="I421" s="3"/>
      <c r="L421" s="2"/>
    </row>
    <row r="422" spans="7:12">
      <c r="G422" s="2"/>
      <c r="H422" s="3"/>
      <c r="I422" s="3"/>
      <c r="L422" s="2"/>
    </row>
    <row r="423" spans="7:12">
      <c r="G423" s="2"/>
      <c r="H423" s="3"/>
      <c r="I423" s="3"/>
      <c r="L423" s="2"/>
    </row>
    <row r="424" spans="7:12">
      <c r="G424" s="2"/>
      <c r="H424" s="3"/>
      <c r="I424" s="3"/>
      <c r="L424" s="2"/>
    </row>
    <row r="425" spans="7:12">
      <c r="G425" s="2"/>
      <c r="H425" s="3"/>
      <c r="I425" s="3"/>
      <c r="L425" s="2"/>
    </row>
    <row r="426" spans="7:12">
      <c r="G426" s="2"/>
      <c r="H426" s="3"/>
      <c r="I426" s="3"/>
      <c r="L426" s="2"/>
    </row>
    <row r="427" spans="7:12">
      <c r="G427" s="2"/>
      <c r="H427" s="3"/>
      <c r="I427" s="3"/>
      <c r="L427" s="2"/>
    </row>
    <row r="428" spans="7:12">
      <c r="G428" s="2"/>
      <c r="H428" s="3"/>
      <c r="I428" s="3"/>
      <c r="L428" s="2"/>
    </row>
    <row r="429" spans="7:12">
      <c r="G429" s="2"/>
      <c r="H429" s="3"/>
      <c r="I429" s="3"/>
      <c r="L429" s="2"/>
    </row>
    <row r="430" spans="7:12">
      <c r="G430" s="2"/>
      <c r="H430" s="3"/>
      <c r="I430" s="3"/>
      <c r="L430" s="2"/>
    </row>
    <row r="431" spans="7:12">
      <c r="G431" s="2"/>
      <c r="H431" s="3"/>
      <c r="I431" s="3"/>
      <c r="L431" s="2"/>
    </row>
    <row r="432" spans="7:12">
      <c r="G432" s="2"/>
      <c r="H432" s="3"/>
      <c r="I432" s="3"/>
      <c r="L432" s="2"/>
    </row>
    <row r="433" spans="7:12">
      <c r="G433" s="2"/>
      <c r="H433" s="3"/>
      <c r="I433" s="3"/>
      <c r="L433" s="2"/>
    </row>
    <row r="434" spans="7:12">
      <c r="G434" s="2"/>
      <c r="H434" s="3"/>
      <c r="I434" s="3"/>
      <c r="L434" s="2"/>
    </row>
    <row r="435" spans="7:12">
      <c r="G435" s="2"/>
      <c r="H435" s="3"/>
      <c r="I435" s="3"/>
      <c r="L435" s="2"/>
    </row>
    <row r="436" spans="7:12">
      <c r="G436" s="2"/>
      <c r="H436" s="3"/>
      <c r="I436" s="3"/>
      <c r="L436" s="2"/>
    </row>
    <row r="437" spans="7:12">
      <c r="G437" s="2"/>
      <c r="H437" s="3"/>
      <c r="I437" s="3"/>
      <c r="L437" s="2"/>
    </row>
    <row r="438" spans="7:12">
      <c r="G438" s="2"/>
      <c r="H438" s="3"/>
      <c r="I438" s="3"/>
      <c r="L438" s="2"/>
    </row>
    <row r="439" spans="7:12">
      <c r="G439" s="2"/>
      <c r="H439" s="3"/>
      <c r="I439" s="3"/>
      <c r="L439" s="2"/>
    </row>
    <row r="440" spans="7:12">
      <c r="G440" s="2"/>
      <c r="H440" s="3"/>
      <c r="I440" s="3"/>
      <c r="L440" s="2"/>
    </row>
    <row r="441" spans="7:12">
      <c r="G441" s="2"/>
      <c r="H441" s="3"/>
      <c r="I441" s="3"/>
      <c r="L441" s="2"/>
    </row>
    <row r="442" spans="7:12">
      <c r="G442" s="2"/>
      <c r="H442" s="3"/>
      <c r="I442" s="3"/>
      <c r="L442" s="2"/>
    </row>
    <row r="443" spans="7:12">
      <c r="G443" s="2"/>
      <c r="H443" s="3"/>
      <c r="I443" s="3"/>
      <c r="L443" s="2"/>
    </row>
    <row r="444" spans="7:12">
      <c r="G444" s="2"/>
      <c r="H444" s="3"/>
      <c r="I444" s="3"/>
      <c r="L444" s="2"/>
    </row>
    <row r="445" spans="7:12">
      <c r="G445" s="2"/>
      <c r="H445" s="3"/>
      <c r="I445" s="3"/>
      <c r="L445" s="2"/>
    </row>
    <row r="446" spans="7:12">
      <c r="G446" s="2"/>
      <c r="H446" s="3"/>
      <c r="I446" s="3"/>
      <c r="L446" s="2"/>
    </row>
    <row r="447" spans="7:12">
      <c r="G447" s="2"/>
      <c r="H447" s="3"/>
      <c r="I447" s="3"/>
      <c r="L447" s="2"/>
    </row>
    <row r="448" spans="7:12">
      <c r="G448" s="2"/>
      <c r="H448" s="3"/>
      <c r="I448" s="3"/>
      <c r="L448" s="2"/>
    </row>
    <row r="449" spans="7:12">
      <c r="G449" s="2"/>
      <c r="H449" s="3"/>
      <c r="I449" s="3"/>
      <c r="L449" s="2"/>
    </row>
    <row r="450" spans="7:12">
      <c r="G450" s="2"/>
      <c r="H450" s="3"/>
      <c r="I450" s="3"/>
      <c r="L450" s="2"/>
    </row>
    <row r="451" spans="7:12">
      <c r="G451" s="2"/>
      <c r="H451" s="3"/>
      <c r="I451" s="3"/>
      <c r="L451" s="2"/>
    </row>
    <row r="452" spans="7:12">
      <c r="G452" s="2"/>
      <c r="H452" s="3"/>
      <c r="I452" s="3"/>
      <c r="L452" s="2"/>
    </row>
    <row r="453" spans="7:12">
      <c r="G453" s="2"/>
      <c r="H453" s="3"/>
      <c r="I453" s="3"/>
      <c r="L453" s="2"/>
    </row>
    <row r="454" spans="7:12">
      <c r="G454" s="2"/>
      <c r="H454" s="3"/>
      <c r="I454" s="3"/>
      <c r="L454" s="2"/>
    </row>
    <row r="455" spans="7:12">
      <c r="G455" s="2"/>
      <c r="H455" s="3"/>
      <c r="I455" s="3"/>
      <c r="L455" s="2"/>
    </row>
    <row r="456" spans="7:12">
      <c r="G456" s="2"/>
      <c r="H456" s="3"/>
      <c r="I456" s="3"/>
      <c r="L456" s="2"/>
    </row>
    <row r="457" spans="7:12">
      <c r="G457" s="2"/>
      <c r="H457" s="3"/>
      <c r="I457" s="3"/>
      <c r="L457" s="2"/>
    </row>
    <row r="458" spans="7:12">
      <c r="G458" s="2"/>
      <c r="H458" s="3"/>
      <c r="I458" s="3"/>
      <c r="L458" s="2"/>
    </row>
    <row r="459" spans="7:12">
      <c r="G459" s="2"/>
      <c r="H459" s="3"/>
      <c r="I459" s="3"/>
      <c r="L459" s="2"/>
    </row>
    <row r="460" spans="7:12">
      <c r="G460" s="2"/>
      <c r="H460" s="3"/>
      <c r="I460" s="3"/>
      <c r="L460" s="2"/>
    </row>
    <row r="461" spans="7:12">
      <c r="G461" s="2"/>
      <c r="H461" s="3"/>
      <c r="I461" s="3"/>
      <c r="L461" s="2"/>
    </row>
    <row r="462" spans="7:12">
      <c r="G462" s="2"/>
      <c r="H462" s="3"/>
      <c r="I462" s="3"/>
      <c r="L462" s="2"/>
    </row>
    <row r="463" spans="7:12">
      <c r="G463" s="2"/>
      <c r="H463" s="3"/>
      <c r="I463" s="3"/>
      <c r="L463" s="2"/>
    </row>
    <row r="464" spans="7:12">
      <c r="G464" s="2"/>
      <c r="H464" s="3"/>
      <c r="I464" s="3"/>
      <c r="L464" s="2"/>
    </row>
    <row r="465" spans="7:12">
      <c r="G465" s="2"/>
      <c r="H465" s="3"/>
      <c r="I465" s="3"/>
      <c r="L465" s="2"/>
    </row>
    <row r="466" spans="7:12">
      <c r="G466" s="2"/>
      <c r="H466" s="3"/>
      <c r="I466" s="3"/>
      <c r="L466" s="2"/>
    </row>
    <row r="467" spans="7:12">
      <c r="G467" s="2"/>
      <c r="H467" s="3"/>
      <c r="I467" s="3"/>
      <c r="L467" s="2"/>
    </row>
    <row r="468" spans="7:12">
      <c r="G468" s="2"/>
      <c r="H468" s="3"/>
      <c r="I468" s="3"/>
      <c r="L468" s="2"/>
    </row>
    <row r="469" spans="7:12">
      <c r="G469" s="2"/>
      <c r="H469" s="3"/>
      <c r="I469" s="3"/>
      <c r="L469" s="2"/>
    </row>
    <row r="470" spans="7:12">
      <c r="G470" s="2"/>
      <c r="H470" s="3"/>
      <c r="I470" s="3"/>
      <c r="L470" s="2"/>
    </row>
    <row r="471" spans="7:12">
      <c r="G471" s="2"/>
      <c r="H471" s="3"/>
      <c r="I471" s="3"/>
      <c r="L471" s="2"/>
    </row>
    <row r="472" spans="7:12">
      <c r="G472" s="2"/>
      <c r="H472" s="3"/>
      <c r="I472" s="3"/>
      <c r="L472" s="2"/>
    </row>
    <row r="473" spans="7:12">
      <c r="G473" s="2"/>
      <c r="H473" s="3"/>
      <c r="I473" s="3"/>
      <c r="L473" s="2"/>
    </row>
    <row r="474" spans="7:12">
      <c r="G474" s="2"/>
      <c r="H474" s="3"/>
      <c r="I474" s="3"/>
      <c r="L474" s="2"/>
    </row>
    <row r="475" spans="7:12">
      <c r="G475" s="2"/>
      <c r="H475" s="3"/>
      <c r="I475" s="3"/>
      <c r="L475" s="2"/>
    </row>
    <row r="476" spans="7:12">
      <c r="G476" s="2"/>
      <c r="H476" s="3"/>
      <c r="I476" s="3"/>
      <c r="L476" s="2"/>
    </row>
    <row r="477" spans="7:12">
      <c r="G477" s="2"/>
      <c r="H477" s="3"/>
      <c r="I477" s="3"/>
      <c r="L477" s="2"/>
    </row>
    <row r="478" spans="7:12">
      <c r="G478" s="2"/>
      <c r="H478" s="3"/>
      <c r="I478" s="3"/>
      <c r="L478" s="2"/>
    </row>
    <row r="479" spans="7:12">
      <c r="G479" s="2"/>
      <c r="H479" s="3"/>
      <c r="I479" s="3"/>
      <c r="L479" s="2"/>
    </row>
    <row r="480" spans="7:12">
      <c r="G480" s="2"/>
      <c r="H480" s="3"/>
      <c r="I480" s="3"/>
      <c r="L480" s="2"/>
    </row>
    <row r="481" spans="7:12">
      <c r="G481" s="2"/>
      <c r="H481" s="3"/>
      <c r="I481" s="3"/>
      <c r="L481" s="2"/>
    </row>
    <row r="482" spans="7:12">
      <c r="G482" s="2"/>
      <c r="H482" s="3"/>
      <c r="I482" s="3"/>
      <c r="L482" s="2"/>
    </row>
    <row r="483" spans="7:12">
      <c r="G483" s="2"/>
      <c r="H483" s="3"/>
      <c r="I483" s="3"/>
      <c r="L483" s="2"/>
    </row>
    <row r="484" spans="7:12">
      <c r="G484" s="2"/>
      <c r="H484" s="3"/>
      <c r="I484" s="3"/>
      <c r="L484" s="2"/>
    </row>
    <row r="485" spans="7:12">
      <c r="G485" s="2"/>
      <c r="H485" s="3"/>
      <c r="I485" s="3"/>
      <c r="L485" s="2"/>
    </row>
    <row r="486" spans="7:12">
      <c r="G486" s="2"/>
      <c r="H486" s="3"/>
      <c r="I486" s="3"/>
      <c r="L486" s="2"/>
    </row>
    <row r="487" spans="7:12">
      <c r="G487" s="2"/>
      <c r="H487" s="3"/>
      <c r="I487" s="3"/>
      <c r="L487" s="2"/>
    </row>
    <row r="488" spans="7:12">
      <c r="G488" s="2"/>
      <c r="H488" s="3"/>
      <c r="I488" s="3"/>
      <c r="L488" s="2"/>
    </row>
    <row r="489" spans="7:12">
      <c r="G489" s="2"/>
      <c r="H489" s="3"/>
      <c r="I489" s="3"/>
      <c r="L489" s="2"/>
    </row>
    <row r="490" spans="7:12">
      <c r="G490" s="2"/>
      <c r="H490" s="3"/>
      <c r="I490" s="3"/>
      <c r="L490" s="2"/>
    </row>
    <row r="491" spans="7:12">
      <c r="G491" s="2"/>
      <c r="H491" s="3"/>
      <c r="I491" s="3"/>
      <c r="L491" s="2"/>
    </row>
    <row r="492" spans="7:12">
      <c r="G492" s="2"/>
      <c r="H492" s="3"/>
      <c r="I492" s="3"/>
      <c r="L492" s="2"/>
    </row>
    <row r="493" spans="7:12">
      <c r="G493" s="2"/>
      <c r="H493" s="3"/>
      <c r="I493" s="3"/>
      <c r="L493" s="2"/>
    </row>
    <row r="494" spans="7:12">
      <c r="G494" s="2"/>
      <c r="H494" s="3"/>
      <c r="I494" s="3"/>
      <c r="L494" s="2"/>
    </row>
    <row r="495" spans="7:12">
      <c r="G495" s="2"/>
      <c r="H495" s="3"/>
      <c r="I495" s="3"/>
      <c r="L495" s="2"/>
    </row>
    <row r="496" spans="7:12">
      <c r="G496" s="2"/>
      <c r="H496" s="3"/>
      <c r="I496" s="3"/>
      <c r="L496" s="2"/>
    </row>
    <row r="497" spans="7:12">
      <c r="G497" s="2"/>
      <c r="H497" s="3"/>
      <c r="I497" s="3"/>
      <c r="L497" s="2"/>
    </row>
    <row r="498" spans="7:12">
      <c r="G498" s="2"/>
      <c r="H498" s="3"/>
      <c r="I498" s="3"/>
      <c r="L498" s="2"/>
    </row>
    <row r="499" spans="7:12">
      <c r="G499" s="2"/>
      <c r="H499" s="3"/>
      <c r="I499" s="3"/>
      <c r="L499" s="2"/>
    </row>
    <row r="500" spans="7:12">
      <c r="G500" s="2"/>
      <c r="H500" s="3"/>
      <c r="I500" s="3"/>
      <c r="L500" s="2"/>
    </row>
    <row r="501" spans="7:12">
      <c r="G501" s="2"/>
      <c r="H501" s="3"/>
      <c r="I501" s="3"/>
      <c r="L501" s="2"/>
    </row>
    <row r="502" spans="7:12">
      <c r="G502" s="2"/>
      <c r="H502" s="3"/>
      <c r="I502" s="3"/>
      <c r="L502" s="2"/>
    </row>
    <row r="503" spans="7:12">
      <c r="G503" s="2"/>
      <c r="H503" s="3"/>
      <c r="I503" s="3"/>
      <c r="L503" s="2"/>
    </row>
    <row r="504" spans="7:12">
      <c r="G504" s="2"/>
      <c r="H504" s="3"/>
      <c r="I504" s="3"/>
      <c r="L504" s="2"/>
    </row>
    <row r="505" spans="7:12">
      <c r="G505" s="2"/>
      <c r="H505" s="3"/>
      <c r="I505" s="3"/>
      <c r="L505" s="2"/>
    </row>
    <row r="506" spans="7:12">
      <c r="G506" s="2"/>
      <c r="H506" s="3"/>
      <c r="I506" s="3"/>
      <c r="L506" s="2"/>
    </row>
    <row r="507" spans="7:12">
      <c r="G507" s="2"/>
      <c r="H507" s="3"/>
      <c r="I507" s="3"/>
      <c r="L507" s="2"/>
    </row>
    <row r="508" spans="7:12">
      <c r="G508" s="2"/>
      <c r="H508" s="3"/>
      <c r="I508" s="3"/>
      <c r="L508" s="2"/>
    </row>
    <row r="509" spans="7:12">
      <c r="G509" s="2"/>
      <c r="H509" s="3"/>
      <c r="I509" s="3"/>
      <c r="L509" s="2"/>
    </row>
    <row r="510" spans="7:12">
      <c r="G510" s="2"/>
      <c r="H510" s="3"/>
      <c r="I510" s="3"/>
      <c r="L510" s="2"/>
    </row>
    <row r="511" spans="7:12">
      <c r="G511" s="2"/>
      <c r="H511" s="3"/>
      <c r="I511" s="3"/>
      <c r="L511" s="2"/>
    </row>
    <row r="512" spans="7:12">
      <c r="G512" s="2"/>
      <c r="H512" s="3"/>
      <c r="I512" s="3"/>
      <c r="L512" s="2"/>
    </row>
    <row r="513" spans="7:12">
      <c r="G513" s="2"/>
      <c r="H513" s="3"/>
      <c r="I513" s="3"/>
      <c r="L513" s="2"/>
    </row>
    <row r="514" spans="7:12">
      <c r="G514" s="2"/>
      <c r="H514" s="3"/>
      <c r="I514" s="3"/>
      <c r="L514" s="2"/>
    </row>
    <row r="515" spans="7:12">
      <c r="G515" s="2"/>
      <c r="H515" s="3"/>
      <c r="I515" s="3"/>
      <c r="L515" s="2"/>
    </row>
    <row r="516" spans="7:12">
      <c r="G516" s="2"/>
      <c r="H516" s="3"/>
      <c r="I516" s="3"/>
      <c r="L516" s="2"/>
    </row>
    <row r="517" spans="7:12">
      <c r="G517" s="2"/>
      <c r="H517" s="3"/>
      <c r="I517" s="3"/>
      <c r="L517" s="2"/>
    </row>
    <row r="518" spans="7:12">
      <c r="G518" s="2"/>
      <c r="H518" s="3"/>
      <c r="I518" s="3"/>
      <c r="L518" s="2"/>
    </row>
    <row r="519" spans="7:12">
      <c r="G519" s="2"/>
      <c r="H519" s="3"/>
      <c r="I519" s="3"/>
      <c r="L519" s="2"/>
    </row>
    <row r="520" spans="7:12">
      <c r="G520" s="2"/>
      <c r="H520" s="3"/>
      <c r="I520" s="3"/>
      <c r="L520" s="2"/>
    </row>
    <row r="521" spans="7:12">
      <c r="G521" s="2"/>
      <c r="H521" s="3"/>
      <c r="I521" s="3"/>
      <c r="L521" s="2"/>
    </row>
    <row r="522" spans="7:12">
      <c r="G522" s="2"/>
      <c r="H522" s="3"/>
      <c r="I522" s="3"/>
      <c r="L522" s="2"/>
    </row>
    <row r="523" spans="7:12">
      <c r="G523" s="2"/>
      <c r="H523" s="3"/>
      <c r="I523" s="3"/>
      <c r="L523" s="2"/>
    </row>
    <row r="524" spans="7:12">
      <c r="G524" s="2"/>
      <c r="H524" s="3"/>
      <c r="I524" s="3"/>
      <c r="L524" s="2"/>
    </row>
    <row r="525" spans="7:12">
      <c r="G525" s="2"/>
      <c r="H525" s="3"/>
      <c r="I525" s="3"/>
      <c r="L525" s="2"/>
    </row>
    <row r="526" spans="7:12">
      <c r="G526" s="2"/>
      <c r="H526" s="3"/>
      <c r="I526" s="3"/>
      <c r="L526" s="2"/>
    </row>
    <row r="527" spans="7:12">
      <c r="G527" s="2"/>
      <c r="H527" s="3"/>
      <c r="I527" s="3"/>
      <c r="L527" s="2"/>
    </row>
    <row r="528" spans="7:12">
      <c r="G528" s="2"/>
      <c r="H528" s="3"/>
      <c r="I528" s="3"/>
      <c r="L528" s="2"/>
    </row>
    <row r="529" spans="7:12">
      <c r="G529" s="2"/>
      <c r="H529" s="3"/>
      <c r="I529" s="3"/>
      <c r="L529" s="2"/>
    </row>
    <row r="530" spans="7:12">
      <c r="G530" s="2"/>
      <c r="H530" s="3"/>
      <c r="I530" s="3"/>
      <c r="L530" s="2"/>
    </row>
    <row r="531" spans="7:12">
      <c r="G531" s="2"/>
      <c r="H531" s="3"/>
      <c r="I531" s="3"/>
      <c r="L531" s="2"/>
    </row>
    <row r="532" spans="7:12">
      <c r="G532" s="2"/>
      <c r="H532" s="3"/>
      <c r="I532" s="3"/>
      <c r="L532" s="2"/>
    </row>
    <row r="533" spans="7:12">
      <c r="G533" s="2"/>
      <c r="H533" s="3"/>
      <c r="I533" s="3"/>
      <c r="L533" s="2"/>
    </row>
    <row r="534" spans="7:12">
      <c r="G534" s="2"/>
      <c r="H534" s="3"/>
      <c r="I534" s="3"/>
      <c r="L534" s="2"/>
    </row>
    <row r="535" spans="7:12">
      <c r="G535" s="2"/>
      <c r="H535" s="3"/>
      <c r="I535" s="3"/>
      <c r="L535" s="2"/>
    </row>
    <row r="536" spans="7:12">
      <c r="G536" s="2"/>
      <c r="H536" s="3"/>
      <c r="I536" s="3"/>
      <c r="L536" s="2"/>
    </row>
    <row r="537" spans="7:12">
      <c r="G537" s="2"/>
      <c r="H537" s="3"/>
      <c r="I537" s="3"/>
      <c r="L537" s="2"/>
    </row>
    <row r="538" spans="7:12">
      <c r="G538" s="2"/>
      <c r="H538" s="3"/>
      <c r="I538" s="3"/>
      <c r="L538" s="2"/>
    </row>
    <row r="539" spans="7:12">
      <c r="G539" s="2"/>
      <c r="H539" s="3"/>
      <c r="I539" s="3"/>
      <c r="L539" s="2"/>
    </row>
    <row r="540" spans="7:12">
      <c r="G540" s="2"/>
      <c r="H540" s="3"/>
      <c r="I540" s="3"/>
      <c r="L540" s="2"/>
    </row>
    <row r="541" spans="7:12">
      <c r="G541" s="2"/>
      <c r="H541" s="3"/>
      <c r="I541" s="3"/>
      <c r="L541" s="2"/>
    </row>
    <row r="542" spans="7:12">
      <c r="G542" s="2"/>
      <c r="H542" s="3"/>
      <c r="I542" s="3"/>
      <c r="L542" s="2"/>
    </row>
    <row r="543" spans="7:12">
      <c r="G543" s="2"/>
      <c r="H543" s="3"/>
      <c r="I543" s="3"/>
      <c r="L543" s="2"/>
    </row>
    <row r="544" spans="7:12">
      <c r="G544" s="2"/>
      <c r="H544" s="3"/>
      <c r="I544" s="3"/>
      <c r="L544" s="2"/>
    </row>
    <row r="545" spans="7:12">
      <c r="G545" s="2"/>
      <c r="H545" s="3"/>
      <c r="I545" s="3"/>
      <c r="L545" s="2"/>
    </row>
    <row r="546" spans="7:12">
      <c r="G546" s="2"/>
      <c r="H546" s="3"/>
      <c r="I546" s="3"/>
      <c r="L546" s="2"/>
    </row>
    <row r="547" spans="7:12">
      <c r="G547" s="2"/>
      <c r="H547" s="3"/>
      <c r="I547" s="3"/>
      <c r="L547" s="2"/>
    </row>
    <row r="548" spans="7:12">
      <c r="G548" s="2"/>
      <c r="H548" s="3"/>
      <c r="I548" s="3"/>
      <c r="L548" s="2"/>
    </row>
    <row r="549" spans="7:12">
      <c r="G549" s="2"/>
      <c r="H549" s="3"/>
      <c r="I549" s="3"/>
      <c r="L549" s="2"/>
    </row>
    <row r="550" spans="7:12">
      <c r="G550" s="2"/>
      <c r="H550" s="3"/>
      <c r="I550" s="3"/>
      <c r="L550" s="2"/>
    </row>
    <row r="551" spans="7:12">
      <c r="G551" s="2"/>
      <c r="H551" s="3"/>
      <c r="I551" s="3"/>
      <c r="L551" s="2"/>
    </row>
    <row r="552" spans="7:12">
      <c r="G552" s="2"/>
      <c r="H552" s="3"/>
      <c r="I552" s="3"/>
      <c r="L552" s="2"/>
    </row>
    <row r="553" spans="7:12">
      <c r="G553" s="2"/>
      <c r="H553" s="3"/>
      <c r="I553" s="3"/>
      <c r="L553" s="2"/>
    </row>
    <row r="554" spans="7:12">
      <c r="G554" s="2"/>
      <c r="H554" s="3"/>
      <c r="I554" s="3"/>
      <c r="L554" s="2"/>
    </row>
    <row r="555" spans="7:12">
      <c r="G555" s="2"/>
      <c r="H555" s="3"/>
      <c r="I555" s="3"/>
      <c r="L555" s="2"/>
    </row>
    <row r="556" spans="7:12">
      <c r="G556" s="2"/>
      <c r="H556" s="3"/>
      <c r="I556" s="3"/>
      <c r="L556" s="2"/>
    </row>
    <row r="557" spans="7:12">
      <c r="G557" s="2"/>
      <c r="H557" s="3"/>
      <c r="I557" s="3"/>
      <c r="L557" s="2"/>
    </row>
    <row r="558" spans="7:12">
      <c r="G558" s="2"/>
      <c r="H558" s="3"/>
      <c r="I558" s="3"/>
      <c r="L558" s="2"/>
    </row>
    <row r="559" spans="7:12">
      <c r="G559" s="2"/>
      <c r="H559" s="3"/>
      <c r="I559" s="3"/>
      <c r="L559" s="2"/>
    </row>
    <row r="560" spans="7:12">
      <c r="G560" s="2"/>
      <c r="H560" s="3"/>
      <c r="I560" s="3"/>
      <c r="L560" s="2"/>
    </row>
    <row r="561" spans="7:12">
      <c r="G561" s="2"/>
      <c r="H561" s="3"/>
      <c r="I561" s="3"/>
      <c r="L561" s="2"/>
    </row>
    <row r="562" spans="7:12">
      <c r="G562" s="2"/>
      <c r="H562" s="3"/>
      <c r="I562" s="3"/>
      <c r="L562" s="2"/>
    </row>
    <row r="563" spans="7:12">
      <c r="G563" s="2"/>
      <c r="H563" s="3"/>
      <c r="I563" s="3"/>
      <c r="L563" s="2"/>
    </row>
    <row r="564" spans="7:12">
      <c r="G564" s="2"/>
      <c r="H564" s="3"/>
      <c r="I564" s="3"/>
      <c r="L564" s="2"/>
    </row>
    <row r="565" spans="7:12">
      <c r="G565" s="2"/>
      <c r="H565" s="3"/>
      <c r="I565" s="3"/>
      <c r="L565" s="2"/>
    </row>
    <row r="566" spans="7:12">
      <c r="G566" s="2"/>
      <c r="H566" s="3"/>
      <c r="I566" s="3"/>
      <c r="L566" s="2"/>
    </row>
    <row r="567" spans="7:12">
      <c r="G567" s="2"/>
      <c r="H567" s="3"/>
      <c r="I567" s="3"/>
      <c r="L567" s="2"/>
    </row>
    <row r="568" spans="7:12">
      <c r="G568" s="2"/>
      <c r="H568" s="3"/>
      <c r="I568" s="3"/>
      <c r="L568" s="2"/>
    </row>
    <row r="569" spans="7:12">
      <c r="G569" s="2"/>
      <c r="H569" s="3"/>
      <c r="I569" s="3"/>
      <c r="L569" s="2"/>
    </row>
    <row r="570" spans="7:12">
      <c r="G570" s="2"/>
      <c r="H570" s="3"/>
      <c r="I570" s="3"/>
      <c r="L570" s="2"/>
    </row>
    <row r="571" spans="7:12">
      <c r="G571" s="2"/>
      <c r="H571" s="3"/>
      <c r="I571" s="3"/>
      <c r="L571" s="2"/>
    </row>
    <row r="572" spans="7:12">
      <c r="G572" s="2"/>
      <c r="H572" s="3"/>
      <c r="I572" s="3"/>
      <c r="L572" s="2"/>
    </row>
    <row r="573" spans="7:12">
      <c r="G573" s="2"/>
      <c r="H573" s="3"/>
      <c r="I573" s="3"/>
      <c r="L573" s="2"/>
    </row>
    <row r="574" spans="7:12">
      <c r="G574" s="2"/>
      <c r="H574" s="3"/>
      <c r="I574" s="3"/>
      <c r="L574" s="2"/>
    </row>
    <row r="575" spans="7:12">
      <c r="G575" s="2"/>
      <c r="H575" s="3"/>
      <c r="I575" s="3"/>
      <c r="L575" s="2"/>
    </row>
    <row r="576" spans="7:12">
      <c r="G576" s="2"/>
      <c r="H576" s="3"/>
      <c r="I576" s="3"/>
      <c r="L576" s="2"/>
    </row>
    <row r="577" spans="7:12">
      <c r="G577" s="2"/>
      <c r="H577" s="3"/>
      <c r="I577" s="3"/>
      <c r="L577" s="2"/>
    </row>
    <row r="578" spans="7:12">
      <c r="G578" s="2"/>
      <c r="H578" s="3"/>
      <c r="I578" s="3"/>
      <c r="L578" s="2"/>
    </row>
    <row r="579" spans="7:12">
      <c r="G579" s="2"/>
      <c r="H579" s="3"/>
      <c r="I579" s="3"/>
      <c r="L579" s="2"/>
    </row>
    <row r="580" spans="7:12">
      <c r="G580" s="2"/>
      <c r="H580" s="3"/>
      <c r="I580" s="3"/>
      <c r="L580" s="2"/>
    </row>
    <row r="581" spans="7:12">
      <c r="G581" s="2"/>
      <c r="H581" s="3"/>
      <c r="I581" s="3"/>
      <c r="L581" s="2"/>
    </row>
    <row r="582" spans="7:12">
      <c r="G582" s="2"/>
      <c r="H582" s="3"/>
      <c r="I582" s="3"/>
      <c r="L582" s="2"/>
    </row>
    <row r="583" spans="7:12">
      <c r="G583" s="2"/>
      <c r="H583" s="3"/>
      <c r="I583" s="3"/>
      <c r="L583" s="2"/>
    </row>
    <row r="584" spans="7:12">
      <c r="G584" s="2"/>
      <c r="H584" s="3"/>
      <c r="I584" s="3"/>
      <c r="L584" s="2"/>
    </row>
    <row r="585" spans="7:12">
      <c r="G585" s="2"/>
      <c r="H585" s="3"/>
      <c r="I585" s="3"/>
      <c r="L585" s="2"/>
    </row>
    <row r="586" spans="7:12">
      <c r="G586" s="2"/>
      <c r="H586" s="3"/>
      <c r="I586" s="3"/>
      <c r="L586" s="2"/>
    </row>
    <row r="587" spans="7:12">
      <c r="G587" s="2"/>
      <c r="H587" s="3"/>
      <c r="I587" s="3"/>
      <c r="L587" s="2"/>
    </row>
    <row r="588" spans="7:12">
      <c r="G588" s="2"/>
      <c r="H588" s="3"/>
      <c r="I588" s="3"/>
      <c r="L588" s="2"/>
    </row>
    <row r="589" spans="7:12">
      <c r="G589" s="2"/>
      <c r="H589" s="3"/>
      <c r="I589" s="3"/>
      <c r="L589" s="2"/>
    </row>
    <row r="590" spans="7:12">
      <c r="G590" s="2"/>
      <c r="H590" s="3"/>
      <c r="I590" s="3"/>
      <c r="L590" s="2"/>
    </row>
    <row r="591" spans="7:12">
      <c r="G591" s="2"/>
      <c r="H591" s="3"/>
      <c r="I591" s="3"/>
      <c r="L591" s="2"/>
    </row>
    <row r="592" spans="7:12">
      <c r="G592" s="2"/>
      <c r="H592" s="3"/>
      <c r="I592" s="3"/>
      <c r="L592" s="2"/>
    </row>
    <row r="593" spans="7:12">
      <c r="G593" s="2"/>
      <c r="H593" s="3"/>
      <c r="I593" s="3"/>
      <c r="L593" s="2"/>
    </row>
    <row r="594" spans="7:12">
      <c r="G594" s="2"/>
      <c r="H594" s="3"/>
      <c r="I594" s="3"/>
      <c r="L594" s="2"/>
    </row>
    <row r="595" spans="7:12">
      <c r="G595" s="2"/>
      <c r="H595" s="3"/>
      <c r="I595" s="3"/>
      <c r="L595" s="2"/>
    </row>
    <row r="596" spans="7:12">
      <c r="G596" s="2"/>
      <c r="H596" s="3"/>
      <c r="I596" s="3"/>
      <c r="L596" s="2"/>
    </row>
    <row r="597" spans="7:12">
      <c r="G597" s="2"/>
      <c r="H597" s="3"/>
      <c r="I597" s="3"/>
      <c r="L597" s="2"/>
    </row>
    <row r="598" spans="7:12">
      <c r="G598" s="2"/>
      <c r="H598" s="3"/>
      <c r="I598" s="3"/>
      <c r="L598" s="2"/>
    </row>
    <row r="599" spans="7:12">
      <c r="G599" s="2"/>
      <c r="H599" s="3"/>
      <c r="I599" s="3"/>
      <c r="L599" s="2"/>
    </row>
    <row r="600" spans="7:12">
      <c r="G600" s="2"/>
      <c r="H600" s="3"/>
      <c r="I600" s="3"/>
      <c r="L600" s="2"/>
    </row>
    <row r="601" spans="7:12">
      <c r="G601" s="2"/>
      <c r="H601" s="3"/>
      <c r="I601" s="3"/>
      <c r="L601" s="2"/>
    </row>
    <row r="602" spans="7:12">
      <c r="G602" s="2"/>
      <c r="H602" s="3"/>
      <c r="I602" s="3"/>
      <c r="L602" s="2"/>
    </row>
    <row r="603" spans="7:12">
      <c r="G603" s="2"/>
      <c r="H603" s="3"/>
      <c r="I603" s="3"/>
      <c r="L603" s="2"/>
    </row>
    <row r="604" spans="7:12">
      <c r="G604" s="2"/>
      <c r="H604" s="3"/>
      <c r="I604" s="3"/>
      <c r="L604" s="2"/>
    </row>
    <row r="605" spans="7:12">
      <c r="G605" s="2"/>
      <c r="H605" s="3"/>
      <c r="I605" s="3"/>
      <c r="L605" s="2"/>
    </row>
    <row r="606" spans="7:12">
      <c r="G606" s="2"/>
      <c r="H606" s="3"/>
      <c r="I606" s="3"/>
      <c r="L606" s="2"/>
    </row>
    <row r="607" spans="7:12">
      <c r="G607" s="2"/>
      <c r="H607" s="3"/>
      <c r="I607" s="3"/>
      <c r="L607" s="2"/>
    </row>
    <row r="608" spans="7:12">
      <c r="G608" s="2"/>
      <c r="H608" s="3"/>
      <c r="I608" s="3"/>
      <c r="L608" s="2"/>
    </row>
    <row r="609" spans="7:12">
      <c r="G609" s="2"/>
      <c r="H609" s="3"/>
      <c r="I609" s="3"/>
      <c r="L609" s="2"/>
    </row>
    <row r="610" spans="7:12">
      <c r="G610" s="2"/>
      <c r="H610" s="3"/>
      <c r="I610" s="3"/>
      <c r="L610" s="2"/>
    </row>
    <row r="611" spans="7:12">
      <c r="G611" s="2"/>
      <c r="H611" s="3"/>
      <c r="I611" s="3"/>
      <c r="L611" s="2"/>
    </row>
    <row r="612" spans="7:12">
      <c r="G612" s="2"/>
      <c r="H612" s="3"/>
      <c r="I612" s="3"/>
      <c r="L612" s="2"/>
    </row>
    <row r="613" spans="7:12">
      <c r="G613" s="2"/>
      <c r="H613" s="3"/>
      <c r="I613" s="3"/>
      <c r="L613" s="2"/>
    </row>
    <row r="614" spans="7:12">
      <c r="G614" s="2"/>
      <c r="H614" s="3"/>
      <c r="I614" s="3"/>
      <c r="L614" s="2"/>
    </row>
    <row r="615" spans="7:12">
      <c r="G615" s="2"/>
      <c r="H615" s="3"/>
      <c r="I615" s="3"/>
      <c r="L615" s="2"/>
    </row>
    <row r="616" spans="7:12">
      <c r="G616" s="2"/>
      <c r="H616" s="3"/>
      <c r="I616" s="3"/>
      <c r="L616" s="2"/>
    </row>
    <row r="617" spans="7:12">
      <c r="G617" s="2"/>
      <c r="H617" s="3"/>
      <c r="I617" s="3"/>
      <c r="L617" s="2"/>
    </row>
    <row r="618" spans="7:12">
      <c r="G618" s="2"/>
      <c r="H618" s="3"/>
      <c r="I618" s="3"/>
      <c r="L618" s="2"/>
    </row>
    <row r="619" spans="7:12">
      <c r="G619" s="2"/>
      <c r="H619" s="3"/>
      <c r="I619" s="3"/>
      <c r="L619" s="2"/>
    </row>
    <row r="620" spans="7:12">
      <c r="G620" s="2"/>
      <c r="H620" s="3"/>
      <c r="I620" s="3"/>
      <c r="L620" s="2"/>
    </row>
    <row r="621" spans="7:12">
      <c r="G621" s="2"/>
      <c r="H621" s="3"/>
      <c r="I621" s="3"/>
      <c r="L621" s="2"/>
    </row>
    <row r="622" spans="7:12">
      <c r="G622" s="2"/>
      <c r="H622" s="3"/>
      <c r="I622" s="3"/>
      <c r="L622" s="2"/>
    </row>
    <row r="623" spans="7:12">
      <c r="G623" s="2"/>
      <c r="H623" s="3"/>
      <c r="I623" s="3"/>
      <c r="L623" s="2"/>
    </row>
    <row r="624" spans="7:12">
      <c r="G624" s="2"/>
      <c r="H624" s="3"/>
      <c r="I624" s="3"/>
      <c r="L624" s="2"/>
    </row>
    <row r="625" spans="7:12">
      <c r="G625" s="2"/>
      <c r="H625" s="3"/>
      <c r="I625" s="3"/>
      <c r="L625" s="2"/>
    </row>
    <row r="626" spans="7:12">
      <c r="G626" s="2"/>
      <c r="H626" s="3"/>
      <c r="I626" s="3"/>
      <c r="L626" s="2"/>
    </row>
    <row r="627" spans="7:12">
      <c r="G627" s="2"/>
      <c r="H627" s="3"/>
      <c r="I627" s="3"/>
      <c r="L627" s="2"/>
    </row>
    <row r="628" spans="7:12">
      <c r="G628" s="2"/>
      <c r="H628" s="3"/>
      <c r="I628" s="3"/>
      <c r="L628" s="2"/>
    </row>
    <row r="629" spans="7:12">
      <c r="G629" s="2"/>
      <c r="H629" s="3"/>
      <c r="I629" s="3"/>
      <c r="L629" s="2"/>
    </row>
    <row r="630" spans="7:12">
      <c r="G630" s="2"/>
      <c r="H630" s="3"/>
      <c r="I630" s="3"/>
      <c r="L630" s="2"/>
    </row>
    <row r="631" spans="7:12">
      <c r="G631" s="2"/>
      <c r="H631" s="3"/>
      <c r="I631" s="3"/>
      <c r="L631" s="2"/>
    </row>
    <row r="632" spans="7:12">
      <c r="G632" s="2"/>
      <c r="H632" s="3"/>
      <c r="I632" s="3"/>
      <c r="L632" s="2"/>
    </row>
    <row r="633" spans="7:12">
      <c r="G633" s="2"/>
      <c r="H633" s="3"/>
      <c r="I633" s="3"/>
      <c r="L633" s="2"/>
    </row>
    <row r="634" spans="7:12">
      <c r="G634" s="2"/>
      <c r="H634" s="3"/>
      <c r="I634" s="3"/>
      <c r="L634" s="2"/>
    </row>
    <row r="635" spans="7:12">
      <c r="G635" s="2"/>
      <c r="H635" s="3"/>
      <c r="I635" s="3"/>
      <c r="L635" s="2"/>
    </row>
    <row r="636" spans="7:12">
      <c r="G636" s="2"/>
      <c r="H636" s="3"/>
      <c r="I636" s="3"/>
      <c r="L636" s="2"/>
    </row>
    <row r="637" spans="7:12">
      <c r="G637" s="2"/>
      <c r="H637" s="3"/>
      <c r="I637" s="3"/>
      <c r="L637" s="2"/>
    </row>
    <row r="638" spans="7:12">
      <c r="G638" s="2"/>
      <c r="H638" s="3"/>
      <c r="I638" s="3"/>
      <c r="L638" s="2"/>
    </row>
    <row r="639" spans="7:12">
      <c r="G639" s="2"/>
      <c r="H639" s="3"/>
      <c r="I639" s="3"/>
      <c r="L639" s="2"/>
    </row>
    <row r="640" spans="7:12">
      <c r="G640" s="2"/>
      <c r="H640" s="3"/>
      <c r="I640" s="3"/>
      <c r="L640" s="2"/>
    </row>
    <row r="641" spans="7:12">
      <c r="G641" s="2"/>
      <c r="H641" s="3"/>
      <c r="I641" s="3"/>
      <c r="L641" s="2"/>
    </row>
    <row r="642" spans="7:12">
      <c r="G642" s="2"/>
      <c r="H642" s="3"/>
      <c r="I642" s="3"/>
      <c r="L642" s="2"/>
    </row>
    <row r="643" spans="7:12">
      <c r="G643" s="2"/>
      <c r="H643" s="3"/>
      <c r="I643" s="3"/>
      <c r="L643" s="2"/>
    </row>
    <row r="644" spans="7:12">
      <c r="G644" s="2"/>
      <c r="H644" s="3"/>
      <c r="I644" s="3"/>
      <c r="L644" s="2"/>
    </row>
    <row r="645" spans="7:12">
      <c r="G645" s="2"/>
      <c r="H645" s="3"/>
      <c r="I645" s="3"/>
      <c r="L645" s="2"/>
    </row>
    <row r="646" spans="7:12">
      <c r="G646" s="2"/>
      <c r="H646" s="3"/>
      <c r="I646" s="3"/>
      <c r="L646" s="2"/>
    </row>
    <row r="647" spans="7:12">
      <c r="G647" s="2"/>
      <c r="H647" s="3"/>
      <c r="I647" s="3"/>
      <c r="L647" s="2"/>
    </row>
    <row r="648" spans="7:12">
      <c r="G648" s="2"/>
      <c r="H648" s="3"/>
      <c r="I648" s="3"/>
      <c r="L648" s="2"/>
    </row>
    <row r="649" spans="7:12">
      <c r="G649" s="2"/>
      <c r="H649" s="3"/>
      <c r="I649" s="3"/>
      <c r="L649" s="2"/>
    </row>
    <row r="650" spans="7:12">
      <c r="G650" s="2"/>
      <c r="H650" s="3"/>
      <c r="I650" s="3"/>
      <c r="L650" s="2"/>
    </row>
    <row r="651" spans="7:12">
      <c r="G651" s="2"/>
      <c r="H651" s="3"/>
      <c r="I651" s="3"/>
      <c r="L651" s="2"/>
    </row>
    <row r="652" spans="7:12">
      <c r="G652" s="2"/>
      <c r="H652" s="3"/>
      <c r="I652" s="3"/>
      <c r="L652" s="2"/>
    </row>
    <row r="653" spans="7:12">
      <c r="G653" s="2"/>
      <c r="H653" s="3"/>
      <c r="I653" s="3"/>
      <c r="L653" s="2"/>
    </row>
    <row r="654" spans="7:12">
      <c r="G654" s="2"/>
      <c r="H654" s="3"/>
      <c r="I654" s="3"/>
      <c r="L654" s="2"/>
    </row>
    <row r="655" spans="7:12">
      <c r="G655" s="2"/>
      <c r="H655" s="3"/>
      <c r="I655" s="3"/>
      <c r="L655" s="2"/>
    </row>
    <row r="656" spans="7:12">
      <c r="G656" s="2"/>
      <c r="H656" s="3"/>
      <c r="I656" s="3"/>
      <c r="L656" s="2"/>
    </row>
    <row r="657" spans="7:12">
      <c r="G657" s="2"/>
      <c r="H657" s="3"/>
      <c r="I657" s="3"/>
      <c r="L657" s="2"/>
    </row>
    <row r="658" spans="7:12">
      <c r="G658" s="2"/>
      <c r="H658" s="3"/>
      <c r="I658" s="3"/>
      <c r="L658" s="2"/>
    </row>
    <row r="659" spans="7:12">
      <c r="G659" s="2"/>
      <c r="H659" s="3"/>
      <c r="I659" s="3"/>
      <c r="L659" s="2"/>
    </row>
    <row r="660" spans="7:12">
      <c r="G660" s="2"/>
      <c r="H660" s="3"/>
      <c r="I660" s="3"/>
      <c r="L660" s="2"/>
    </row>
    <row r="661" spans="7:12">
      <c r="G661" s="2"/>
      <c r="H661" s="3"/>
      <c r="I661" s="3"/>
      <c r="L661" s="2"/>
    </row>
    <row r="662" spans="7:12">
      <c r="G662" s="2"/>
      <c r="H662" s="3"/>
      <c r="I662" s="3"/>
      <c r="L662" s="2"/>
    </row>
    <row r="663" spans="7:12">
      <c r="G663" s="2"/>
      <c r="H663" s="3"/>
      <c r="I663" s="3"/>
      <c r="L663" s="2"/>
    </row>
    <row r="664" spans="7:12">
      <c r="G664" s="2"/>
      <c r="H664" s="3"/>
      <c r="I664" s="3"/>
      <c r="L664" s="2"/>
    </row>
    <row r="665" spans="7:12">
      <c r="G665" s="2"/>
      <c r="H665" s="3"/>
      <c r="I665" s="3"/>
      <c r="L665" s="2"/>
    </row>
    <row r="666" spans="7:12">
      <c r="G666" s="2"/>
      <c r="H666" s="3"/>
      <c r="I666" s="3"/>
      <c r="L666" s="2"/>
    </row>
    <row r="667" spans="7:12">
      <c r="G667" s="2"/>
      <c r="H667" s="3"/>
      <c r="I667" s="3"/>
      <c r="L667" s="2"/>
    </row>
    <row r="668" spans="7:12">
      <c r="G668" s="2"/>
      <c r="H668" s="3"/>
      <c r="I668" s="3"/>
      <c r="L668" s="2"/>
    </row>
    <row r="669" spans="7:12">
      <c r="G669" s="2"/>
      <c r="H669" s="3"/>
      <c r="I669" s="3"/>
      <c r="L669" s="2"/>
    </row>
    <row r="670" spans="7:12">
      <c r="G670" s="2"/>
      <c r="H670" s="3"/>
      <c r="I670" s="3"/>
      <c r="L670" s="2"/>
    </row>
    <row r="671" spans="7:12">
      <c r="G671" s="2"/>
      <c r="H671" s="3"/>
      <c r="I671" s="3"/>
      <c r="L671" s="2"/>
    </row>
    <row r="672" spans="7:12">
      <c r="G672" s="2"/>
      <c r="H672" s="3"/>
      <c r="I672" s="3"/>
      <c r="L672" s="2"/>
    </row>
    <row r="673" spans="7:12">
      <c r="G673" s="2"/>
      <c r="H673" s="3"/>
      <c r="I673" s="3"/>
      <c r="L673" s="2"/>
    </row>
    <row r="674" spans="7:12">
      <c r="G674" s="2"/>
      <c r="H674" s="3"/>
      <c r="I674" s="3"/>
      <c r="L674" s="2"/>
    </row>
    <row r="675" spans="7:12">
      <c r="G675" s="2"/>
      <c r="H675" s="3"/>
      <c r="I675" s="3"/>
      <c r="L675" s="2"/>
    </row>
    <row r="676" spans="7:12">
      <c r="G676" s="2"/>
      <c r="H676" s="3"/>
      <c r="I676" s="3"/>
      <c r="L676" s="2"/>
    </row>
    <row r="677" spans="7:12">
      <c r="G677" s="2"/>
      <c r="H677" s="3"/>
      <c r="I677" s="3"/>
      <c r="L677" s="2"/>
    </row>
    <row r="678" spans="7:12">
      <c r="G678" s="2"/>
      <c r="H678" s="3"/>
      <c r="I678" s="3"/>
      <c r="L678" s="2"/>
    </row>
    <row r="679" spans="7:12">
      <c r="G679" s="2"/>
      <c r="H679" s="3"/>
      <c r="I679" s="3"/>
      <c r="L679" s="2"/>
    </row>
    <row r="680" spans="7:12">
      <c r="G680" s="2"/>
      <c r="H680" s="3"/>
      <c r="I680" s="3"/>
      <c r="L680" s="2"/>
    </row>
    <row r="681" spans="7:12">
      <c r="G681" s="2"/>
      <c r="H681" s="3"/>
      <c r="I681" s="3"/>
      <c r="L681" s="2"/>
    </row>
    <row r="682" spans="7:12">
      <c r="G682" s="2"/>
      <c r="H682" s="3"/>
      <c r="I682" s="3"/>
      <c r="L682" s="2"/>
    </row>
    <row r="683" spans="7:12">
      <c r="G683" s="2"/>
      <c r="H683" s="3"/>
      <c r="I683" s="3"/>
      <c r="L683" s="2"/>
    </row>
    <row r="684" spans="7:12">
      <c r="G684" s="2"/>
      <c r="H684" s="3"/>
      <c r="I684" s="3"/>
      <c r="L684" s="2"/>
    </row>
    <row r="685" spans="7:12">
      <c r="G685" s="2"/>
      <c r="H685" s="3"/>
      <c r="I685" s="3"/>
      <c r="L685" s="2"/>
    </row>
    <row r="686" spans="7:12">
      <c r="G686" s="2"/>
      <c r="H686" s="3"/>
      <c r="I686" s="3"/>
      <c r="L686" s="2"/>
    </row>
    <row r="687" spans="7:12">
      <c r="G687" s="2"/>
      <c r="H687" s="3"/>
      <c r="I687" s="3"/>
      <c r="L687" s="2"/>
    </row>
    <row r="688" spans="7:12">
      <c r="G688" s="2"/>
      <c r="H688" s="3"/>
      <c r="I688" s="3"/>
      <c r="L688" s="2"/>
    </row>
    <row r="689" spans="7:12">
      <c r="G689" s="2"/>
      <c r="H689" s="3"/>
      <c r="I689" s="3"/>
      <c r="L689" s="2"/>
    </row>
    <row r="690" spans="7:12">
      <c r="G690" s="2"/>
      <c r="H690" s="3"/>
      <c r="I690" s="3"/>
      <c r="L690" s="2"/>
    </row>
    <row r="691" spans="7:12">
      <c r="G691" s="2"/>
      <c r="H691" s="3"/>
      <c r="I691" s="3"/>
      <c r="L691" s="2"/>
    </row>
    <row r="692" spans="7:12">
      <c r="G692" s="2"/>
      <c r="H692" s="3"/>
      <c r="I692" s="3"/>
      <c r="L692" s="2"/>
    </row>
    <row r="693" spans="7:12">
      <c r="G693" s="2"/>
      <c r="H693" s="3"/>
      <c r="I693" s="3"/>
      <c r="L693" s="2"/>
    </row>
    <row r="694" spans="7:12">
      <c r="G694" s="2"/>
      <c r="H694" s="3"/>
      <c r="I694" s="3"/>
      <c r="L694" s="2"/>
    </row>
    <row r="695" spans="7:12">
      <c r="G695" s="2"/>
      <c r="H695" s="3"/>
      <c r="I695" s="3"/>
      <c r="L695" s="2"/>
    </row>
    <row r="696" spans="7:12">
      <c r="G696" s="2"/>
      <c r="H696" s="3"/>
      <c r="I696" s="3"/>
      <c r="L696" s="2"/>
    </row>
    <row r="697" spans="7:12">
      <c r="G697" s="2"/>
      <c r="H697" s="3"/>
      <c r="I697" s="3"/>
      <c r="L697" s="2"/>
    </row>
    <row r="698" spans="7:12">
      <c r="G698" s="2"/>
      <c r="H698" s="3"/>
      <c r="I698" s="3"/>
      <c r="L698" s="2"/>
    </row>
    <row r="699" spans="7:12">
      <c r="G699" s="2"/>
      <c r="H699" s="3"/>
      <c r="I699" s="3"/>
      <c r="L699" s="2"/>
    </row>
    <row r="700" spans="7:12">
      <c r="G700" s="2"/>
      <c r="H700" s="3"/>
      <c r="I700" s="3"/>
      <c r="L700" s="2"/>
    </row>
    <row r="701" spans="7:12">
      <c r="G701" s="2"/>
      <c r="H701" s="3"/>
      <c r="I701" s="3"/>
      <c r="L701" s="2"/>
    </row>
    <row r="702" spans="7:12">
      <c r="G702" s="2"/>
      <c r="H702" s="3"/>
      <c r="I702" s="3"/>
      <c r="L702" s="2"/>
    </row>
    <row r="703" spans="7:12">
      <c r="G703" s="2"/>
      <c r="H703" s="3"/>
      <c r="I703" s="3"/>
      <c r="L703" s="2"/>
    </row>
    <row r="704" spans="7:12">
      <c r="G704" s="2"/>
      <c r="H704" s="3"/>
      <c r="I704" s="3"/>
      <c r="L704" s="2"/>
    </row>
    <row r="705" spans="7:12">
      <c r="G705" s="2"/>
      <c r="H705" s="3"/>
      <c r="I705" s="3"/>
      <c r="L705" s="2"/>
    </row>
    <row r="706" spans="7:12">
      <c r="G706" s="2"/>
      <c r="H706" s="3"/>
      <c r="I706" s="3"/>
      <c r="L706" s="2"/>
    </row>
    <row r="707" spans="7:12">
      <c r="G707" s="2"/>
      <c r="H707" s="3"/>
      <c r="I707" s="3"/>
      <c r="L707" s="2"/>
    </row>
    <row r="708" spans="7:12">
      <c r="G708" s="2"/>
      <c r="H708" s="3"/>
      <c r="I708" s="3"/>
      <c r="L708" s="2"/>
    </row>
    <row r="709" spans="7:12">
      <c r="G709" s="2"/>
      <c r="H709" s="3"/>
      <c r="I709" s="3"/>
      <c r="L709" s="2"/>
    </row>
    <row r="710" spans="7:12">
      <c r="G710" s="2"/>
      <c r="H710" s="3"/>
      <c r="I710" s="3"/>
      <c r="L710" s="2"/>
    </row>
    <row r="711" spans="7:12">
      <c r="G711" s="2"/>
      <c r="H711" s="3"/>
      <c r="I711" s="3"/>
      <c r="L711" s="2"/>
    </row>
    <row r="712" spans="7:12">
      <c r="G712" s="2"/>
      <c r="H712" s="3"/>
      <c r="I712" s="3"/>
      <c r="L712" s="2"/>
    </row>
    <row r="713" spans="7:12">
      <c r="G713" s="2"/>
      <c r="H713" s="3"/>
      <c r="I713" s="3"/>
      <c r="L713" s="2"/>
    </row>
    <row r="714" spans="7:12">
      <c r="G714" s="2"/>
      <c r="H714" s="3"/>
      <c r="I714" s="3"/>
      <c r="L714" s="2"/>
    </row>
    <row r="715" spans="7:12">
      <c r="G715" s="2"/>
      <c r="H715" s="3"/>
      <c r="I715" s="3"/>
      <c r="L715" s="2"/>
    </row>
    <row r="716" spans="7:12">
      <c r="G716" s="2"/>
      <c r="H716" s="3"/>
      <c r="I716" s="3"/>
      <c r="L716" s="2"/>
    </row>
    <row r="717" spans="7:12">
      <c r="G717" s="2"/>
      <c r="H717" s="3"/>
      <c r="I717" s="3"/>
      <c r="L717" s="2"/>
    </row>
    <row r="718" spans="7:12">
      <c r="G718" s="2"/>
      <c r="H718" s="3"/>
      <c r="I718" s="3"/>
      <c r="L718" s="2"/>
    </row>
    <row r="719" spans="7:12">
      <c r="G719" s="2"/>
      <c r="H719" s="3"/>
      <c r="I719" s="3"/>
      <c r="L719" s="2"/>
    </row>
    <row r="720" spans="7:12">
      <c r="G720" s="2"/>
      <c r="H720" s="3"/>
      <c r="I720" s="3"/>
      <c r="L720" s="2"/>
    </row>
    <row r="721" spans="7:12">
      <c r="G721" s="2"/>
      <c r="H721" s="3"/>
      <c r="I721" s="3"/>
      <c r="L721" s="2"/>
    </row>
    <row r="722" spans="7:12">
      <c r="G722" s="2"/>
      <c r="H722" s="3"/>
      <c r="I722" s="3"/>
      <c r="L722" s="2"/>
    </row>
    <row r="723" spans="7:12">
      <c r="G723" s="2"/>
      <c r="H723" s="3"/>
      <c r="I723" s="3"/>
      <c r="L723" s="2"/>
    </row>
    <row r="724" spans="7:12">
      <c r="G724" s="2"/>
      <c r="H724" s="3"/>
      <c r="I724" s="3"/>
      <c r="L724" s="2"/>
    </row>
    <row r="725" spans="7:12">
      <c r="G725" s="2"/>
      <c r="H725" s="3"/>
      <c r="I725" s="3"/>
      <c r="L725" s="2"/>
    </row>
    <row r="726" spans="7:12">
      <c r="G726" s="2"/>
      <c r="H726" s="3"/>
      <c r="I726" s="3"/>
      <c r="L726" s="2"/>
    </row>
    <row r="727" spans="7:12">
      <c r="G727" s="2"/>
      <c r="H727" s="3"/>
      <c r="I727" s="3"/>
      <c r="L727" s="2"/>
    </row>
    <row r="728" spans="7:12">
      <c r="G728" s="2"/>
      <c r="H728" s="3"/>
      <c r="I728" s="3"/>
      <c r="L728" s="2"/>
    </row>
    <row r="729" spans="7:12">
      <c r="G729" s="2"/>
      <c r="H729" s="3"/>
      <c r="I729" s="3"/>
      <c r="L729" s="2"/>
    </row>
    <row r="730" spans="7:12">
      <c r="G730" s="2"/>
      <c r="H730" s="3"/>
      <c r="I730" s="3"/>
      <c r="L730" s="2"/>
    </row>
    <row r="731" spans="7:12">
      <c r="G731" s="2"/>
      <c r="H731" s="3"/>
      <c r="I731" s="3"/>
      <c r="L731" s="2"/>
    </row>
    <row r="732" spans="7:12">
      <c r="G732" s="2"/>
      <c r="H732" s="3"/>
      <c r="I732" s="3"/>
      <c r="L732" s="2"/>
    </row>
    <row r="733" spans="7:12">
      <c r="G733" s="2"/>
      <c r="H733" s="3"/>
      <c r="I733" s="3"/>
      <c r="L733" s="2"/>
    </row>
    <row r="734" spans="7:12">
      <c r="G734" s="2"/>
      <c r="H734" s="3"/>
      <c r="I734" s="3"/>
      <c r="L734" s="2"/>
    </row>
    <row r="735" spans="7:12">
      <c r="G735" s="2"/>
      <c r="H735" s="3"/>
      <c r="I735" s="3"/>
      <c r="L735" s="2"/>
    </row>
    <row r="736" spans="7:12">
      <c r="G736" s="2"/>
      <c r="H736" s="3"/>
      <c r="I736" s="3"/>
      <c r="L736" s="2"/>
    </row>
    <row r="737" spans="7:12">
      <c r="G737" s="2"/>
      <c r="H737" s="3"/>
      <c r="I737" s="3"/>
      <c r="L737" s="2"/>
    </row>
    <row r="738" spans="7:12">
      <c r="G738" s="2"/>
      <c r="H738" s="3"/>
      <c r="I738" s="3"/>
      <c r="L738" s="2"/>
    </row>
    <row r="739" spans="7:12">
      <c r="G739" s="2"/>
      <c r="H739" s="3"/>
      <c r="I739" s="3"/>
      <c r="L739" s="2"/>
    </row>
    <row r="740" spans="7:12">
      <c r="G740" s="2"/>
      <c r="H740" s="3"/>
      <c r="I740" s="3"/>
      <c r="L740" s="2"/>
    </row>
    <row r="741" spans="7:12">
      <c r="G741" s="2"/>
      <c r="H741" s="3"/>
      <c r="I741" s="3"/>
      <c r="L741" s="2"/>
    </row>
    <row r="742" spans="7:12">
      <c r="G742" s="2"/>
      <c r="H742" s="3"/>
      <c r="I742" s="3"/>
      <c r="L742" s="2"/>
    </row>
    <row r="743" spans="7:12">
      <c r="G743" s="2"/>
      <c r="H743" s="3"/>
      <c r="I743" s="3"/>
      <c r="L743" s="2"/>
    </row>
    <row r="744" spans="7:12">
      <c r="G744" s="2"/>
      <c r="H744" s="3"/>
      <c r="I744" s="3"/>
      <c r="L744" s="2"/>
    </row>
    <row r="745" spans="7:12">
      <c r="G745" s="2"/>
      <c r="H745" s="3"/>
      <c r="I745" s="3"/>
      <c r="L745" s="2"/>
    </row>
    <row r="746" spans="7:12">
      <c r="G746" s="2"/>
      <c r="H746" s="3"/>
      <c r="I746" s="3"/>
      <c r="L746" s="2"/>
    </row>
    <row r="747" spans="7:12">
      <c r="G747" s="2"/>
      <c r="H747" s="3"/>
      <c r="I747" s="3"/>
      <c r="L747" s="2"/>
    </row>
    <row r="748" spans="7:12">
      <c r="G748" s="2"/>
      <c r="H748" s="3"/>
      <c r="I748" s="3"/>
      <c r="L748" s="2"/>
    </row>
    <row r="749" spans="7:12">
      <c r="G749" s="2"/>
      <c r="H749" s="3"/>
      <c r="I749" s="3"/>
      <c r="L749" s="2"/>
    </row>
    <row r="750" spans="7:12">
      <c r="G750" s="2"/>
      <c r="H750" s="3"/>
      <c r="I750" s="3"/>
      <c r="L750" s="2"/>
    </row>
    <row r="751" spans="7:12">
      <c r="G751" s="2"/>
      <c r="H751" s="3"/>
      <c r="I751" s="3"/>
      <c r="L751" s="2"/>
    </row>
    <row r="752" spans="7:12">
      <c r="G752" s="2"/>
      <c r="H752" s="3"/>
      <c r="I752" s="3"/>
      <c r="L752" s="2"/>
    </row>
    <row r="753" spans="7:12">
      <c r="G753" s="2"/>
      <c r="H753" s="3"/>
      <c r="I753" s="3"/>
      <c r="L753" s="2"/>
    </row>
    <row r="754" spans="7:12">
      <c r="G754" s="2"/>
      <c r="H754" s="3"/>
      <c r="I754" s="3"/>
      <c r="L754" s="2"/>
    </row>
    <row r="755" spans="7:12">
      <c r="G755" s="2"/>
      <c r="H755" s="3"/>
      <c r="I755" s="3"/>
      <c r="L755" s="2"/>
    </row>
    <row r="756" spans="7:12">
      <c r="G756" s="2"/>
      <c r="H756" s="3"/>
      <c r="I756" s="3"/>
      <c r="L756" s="2"/>
    </row>
    <row r="757" spans="7:12">
      <c r="G757" s="2"/>
      <c r="H757" s="3"/>
      <c r="I757" s="3"/>
      <c r="L757" s="2"/>
    </row>
    <row r="758" spans="7:12">
      <c r="G758" s="2"/>
      <c r="H758" s="3"/>
      <c r="I758" s="3"/>
      <c r="L758" s="2"/>
    </row>
    <row r="759" spans="7:12">
      <c r="G759" s="2"/>
      <c r="H759" s="3"/>
      <c r="I759" s="3"/>
      <c r="L759" s="2"/>
    </row>
    <row r="760" spans="7:12">
      <c r="G760" s="2"/>
      <c r="H760" s="3"/>
      <c r="I760" s="3"/>
      <c r="L760" s="2"/>
    </row>
    <row r="761" spans="7:12">
      <c r="G761" s="2"/>
      <c r="H761" s="3"/>
      <c r="I761" s="3"/>
      <c r="L761" s="2"/>
    </row>
    <row r="762" spans="7:12">
      <c r="G762" s="2"/>
      <c r="H762" s="3"/>
      <c r="I762" s="3"/>
      <c r="L762" s="2"/>
    </row>
    <row r="763" spans="7:12">
      <c r="G763" s="2"/>
      <c r="H763" s="3"/>
      <c r="I763" s="3"/>
      <c r="L763" s="2"/>
    </row>
    <row r="764" spans="7:12">
      <c r="G764" s="2"/>
      <c r="H764" s="3"/>
      <c r="I764" s="3"/>
      <c r="L764" s="2"/>
    </row>
    <row r="765" spans="7:12">
      <c r="G765" s="2"/>
      <c r="H765" s="3"/>
      <c r="I765" s="3"/>
      <c r="L765" s="2"/>
    </row>
    <row r="766" spans="7:12">
      <c r="G766" s="2"/>
      <c r="H766" s="3"/>
      <c r="I766" s="3"/>
      <c r="L766" s="2"/>
    </row>
    <row r="767" spans="7:12">
      <c r="G767" s="2"/>
      <c r="H767" s="3"/>
      <c r="I767" s="3"/>
      <c r="L767" s="2"/>
    </row>
    <row r="768" spans="7:12">
      <c r="G768" s="2"/>
      <c r="H768" s="3"/>
      <c r="I768" s="3"/>
      <c r="L768" s="2"/>
    </row>
    <row r="769" spans="7:12">
      <c r="G769" s="2"/>
      <c r="H769" s="3"/>
      <c r="I769" s="3"/>
      <c r="L769" s="2"/>
    </row>
    <row r="770" spans="7:12">
      <c r="G770" s="2"/>
      <c r="H770" s="3"/>
      <c r="I770" s="3"/>
      <c r="L770" s="2"/>
    </row>
    <row r="771" spans="7:12">
      <c r="G771" s="2"/>
      <c r="H771" s="3"/>
      <c r="I771" s="3"/>
      <c r="L771" s="2"/>
    </row>
    <row r="772" spans="7:12">
      <c r="G772" s="2"/>
      <c r="H772" s="3"/>
      <c r="I772" s="3"/>
      <c r="L772" s="2"/>
    </row>
    <row r="773" spans="7:12">
      <c r="G773" s="2"/>
      <c r="H773" s="3"/>
      <c r="I773" s="3"/>
      <c r="L773" s="2"/>
    </row>
    <row r="774" spans="7:12">
      <c r="G774" s="2"/>
      <c r="H774" s="3"/>
      <c r="I774" s="3"/>
      <c r="L774" s="2"/>
    </row>
    <row r="775" spans="7:12">
      <c r="G775" s="2"/>
      <c r="H775" s="3"/>
      <c r="I775" s="3"/>
      <c r="L775" s="2"/>
    </row>
    <row r="776" spans="7:12">
      <c r="G776" s="2"/>
      <c r="H776" s="3"/>
      <c r="I776" s="3"/>
      <c r="L776" s="2"/>
    </row>
    <row r="777" spans="7:12">
      <c r="G777" s="2"/>
      <c r="H777" s="3"/>
      <c r="I777" s="3"/>
      <c r="L777" s="2"/>
    </row>
    <row r="778" spans="7:12">
      <c r="G778" s="2"/>
      <c r="H778" s="3"/>
      <c r="I778" s="3"/>
      <c r="L778" s="2"/>
    </row>
    <row r="779" spans="7:12">
      <c r="G779" s="2"/>
      <c r="H779" s="3"/>
      <c r="I779" s="3"/>
      <c r="L779" s="2"/>
    </row>
    <row r="780" spans="7:12">
      <c r="G780" s="2"/>
      <c r="H780" s="3"/>
      <c r="I780" s="3"/>
      <c r="L780" s="2"/>
    </row>
    <row r="781" spans="7:12">
      <c r="G781" s="2"/>
      <c r="H781" s="3"/>
      <c r="I781" s="3"/>
      <c r="L781" s="2"/>
    </row>
    <row r="782" spans="7:12">
      <c r="G782" s="2"/>
      <c r="H782" s="3"/>
      <c r="I782" s="3"/>
      <c r="L782" s="2"/>
    </row>
    <row r="783" spans="7:12">
      <c r="G783" s="2"/>
      <c r="H783" s="3"/>
      <c r="I783" s="3"/>
      <c r="L783" s="2"/>
    </row>
    <row r="784" spans="7:12">
      <c r="G784" s="2"/>
      <c r="H784" s="3"/>
      <c r="I784" s="3"/>
      <c r="L784" s="2"/>
    </row>
    <row r="785" spans="7:12">
      <c r="G785" s="2"/>
      <c r="H785" s="3"/>
      <c r="I785" s="3"/>
      <c r="L785" s="2"/>
    </row>
    <row r="786" spans="7:12">
      <c r="G786" s="2"/>
      <c r="H786" s="3"/>
      <c r="I786" s="3"/>
      <c r="L786" s="2"/>
    </row>
    <row r="787" spans="7:12">
      <c r="G787" s="2"/>
      <c r="H787" s="3"/>
      <c r="I787" s="3"/>
      <c r="L787" s="2"/>
    </row>
    <row r="788" spans="7:12">
      <c r="G788" s="2"/>
      <c r="H788" s="3"/>
      <c r="I788" s="3"/>
      <c r="L788" s="2"/>
    </row>
    <row r="789" spans="7:12">
      <c r="G789" s="2"/>
      <c r="H789" s="3"/>
      <c r="I789" s="3"/>
      <c r="L789" s="2"/>
    </row>
    <row r="790" spans="7:12">
      <c r="G790" s="2"/>
      <c r="H790" s="3"/>
      <c r="I790" s="3"/>
      <c r="L790" s="2"/>
    </row>
    <row r="791" spans="7:12">
      <c r="G791" s="2"/>
      <c r="H791" s="3"/>
      <c r="I791" s="3"/>
      <c r="L791" s="2"/>
    </row>
    <row r="792" spans="7:12">
      <c r="G792" s="2"/>
      <c r="H792" s="3"/>
      <c r="I792" s="3"/>
      <c r="L792" s="2"/>
    </row>
    <row r="793" spans="7:12">
      <c r="G793" s="2"/>
      <c r="H793" s="3"/>
      <c r="I793" s="3"/>
      <c r="L793" s="2"/>
    </row>
    <row r="794" spans="7:12">
      <c r="G794" s="2"/>
      <c r="H794" s="3"/>
      <c r="I794" s="3"/>
      <c r="L794" s="2"/>
    </row>
    <row r="795" spans="7:12">
      <c r="G795" s="2"/>
      <c r="H795" s="3"/>
      <c r="I795" s="3"/>
      <c r="L795" s="2"/>
    </row>
    <row r="796" spans="7:12">
      <c r="G796" s="2"/>
      <c r="H796" s="3"/>
      <c r="I796" s="3"/>
      <c r="L796" s="2"/>
    </row>
    <row r="797" spans="7:12">
      <c r="G797" s="2"/>
      <c r="H797" s="3"/>
      <c r="I797" s="3"/>
      <c r="L797" s="2"/>
    </row>
    <row r="798" spans="7:12">
      <c r="G798" s="2"/>
      <c r="H798" s="3"/>
      <c r="I798" s="3"/>
      <c r="L798" s="2"/>
    </row>
    <row r="799" spans="7:12">
      <c r="G799" s="2"/>
      <c r="H799" s="3"/>
      <c r="I799" s="3"/>
      <c r="L799" s="2"/>
    </row>
    <row r="800" spans="7:12">
      <c r="G800" s="2"/>
      <c r="H800" s="3"/>
      <c r="I800" s="3"/>
      <c r="L800" s="2"/>
    </row>
    <row r="801" spans="7:12">
      <c r="G801" s="2"/>
      <c r="H801" s="3"/>
      <c r="I801" s="3"/>
      <c r="L801" s="2"/>
    </row>
    <row r="802" spans="7:12">
      <c r="G802" s="2"/>
      <c r="H802" s="3"/>
      <c r="I802" s="3"/>
      <c r="L802" s="2"/>
    </row>
    <row r="803" spans="7:12">
      <c r="G803" s="2"/>
      <c r="H803" s="3"/>
      <c r="I803" s="3"/>
      <c r="L803" s="2"/>
    </row>
    <row r="804" spans="7:12">
      <c r="G804" s="2"/>
      <c r="H804" s="3"/>
      <c r="I804" s="3"/>
      <c r="L804" s="2"/>
    </row>
    <row r="805" spans="7:12">
      <c r="G805" s="2"/>
      <c r="H805" s="3"/>
      <c r="I805" s="3"/>
      <c r="L805" s="2"/>
    </row>
    <row r="806" spans="7:12">
      <c r="G806" s="2"/>
      <c r="H806" s="3"/>
      <c r="I806" s="3"/>
      <c r="L806" s="2"/>
    </row>
    <row r="807" spans="7:12">
      <c r="G807" s="2"/>
      <c r="H807" s="3"/>
      <c r="I807" s="3"/>
      <c r="L807" s="2"/>
    </row>
    <row r="808" spans="7:12">
      <c r="G808" s="2"/>
      <c r="H808" s="3"/>
      <c r="I808" s="3"/>
      <c r="L808" s="2"/>
    </row>
    <row r="809" spans="7:12">
      <c r="G809" s="2"/>
      <c r="H809" s="3"/>
      <c r="I809" s="3"/>
      <c r="L809" s="2"/>
    </row>
    <row r="810" spans="7:12">
      <c r="G810" s="2"/>
      <c r="H810" s="3"/>
      <c r="I810" s="3"/>
      <c r="L810" s="2"/>
    </row>
    <row r="811" spans="7:12">
      <c r="G811" s="2"/>
      <c r="H811" s="3"/>
      <c r="I811" s="3"/>
      <c r="L811" s="2"/>
    </row>
    <row r="812" spans="7:12">
      <c r="G812" s="2"/>
      <c r="H812" s="3"/>
      <c r="I812" s="3"/>
      <c r="L812" s="2"/>
    </row>
    <row r="813" spans="7:12">
      <c r="G813" s="2"/>
      <c r="H813" s="3"/>
      <c r="I813" s="3"/>
      <c r="L813" s="2"/>
    </row>
    <row r="814" spans="7:12">
      <c r="G814" s="2"/>
      <c r="H814" s="3"/>
      <c r="I814" s="3"/>
      <c r="L814" s="2"/>
    </row>
    <row r="815" spans="7:12">
      <c r="G815" s="2"/>
      <c r="H815" s="3"/>
      <c r="I815" s="3"/>
      <c r="L815" s="2"/>
    </row>
    <row r="816" spans="7:12">
      <c r="G816" s="2"/>
      <c r="H816" s="3"/>
      <c r="I816" s="3"/>
      <c r="L816" s="2"/>
    </row>
    <row r="817" spans="7:12">
      <c r="G817" s="2"/>
      <c r="H817" s="3"/>
      <c r="I817" s="3"/>
      <c r="L817" s="2"/>
    </row>
    <row r="818" spans="7:12">
      <c r="G818" s="2"/>
      <c r="H818" s="3"/>
      <c r="I818" s="3"/>
      <c r="L818" s="2"/>
    </row>
    <row r="819" spans="7:12">
      <c r="G819" s="2"/>
      <c r="H819" s="3"/>
      <c r="I819" s="3"/>
      <c r="L819" s="2"/>
    </row>
    <row r="820" spans="7:12">
      <c r="G820" s="2"/>
      <c r="H820" s="3"/>
      <c r="I820" s="3"/>
      <c r="L820" s="2"/>
    </row>
    <row r="821" spans="7:12">
      <c r="G821" s="2"/>
      <c r="H821" s="3"/>
      <c r="I821" s="3"/>
      <c r="L821" s="2"/>
    </row>
    <row r="822" spans="7:12">
      <c r="G822" s="2"/>
      <c r="H822" s="3"/>
      <c r="I822" s="3"/>
      <c r="L822" s="2"/>
    </row>
    <row r="823" spans="7:12">
      <c r="G823" s="2"/>
      <c r="H823" s="3"/>
      <c r="I823" s="3"/>
      <c r="L823" s="2"/>
    </row>
    <row r="824" spans="7:12">
      <c r="G824" s="2"/>
      <c r="H824" s="3"/>
      <c r="I824" s="3"/>
      <c r="L824" s="2"/>
    </row>
    <row r="825" spans="7:12">
      <c r="G825" s="2"/>
      <c r="H825" s="3"/>
      <c r="I825" s="3"/>
      <c r="L825" s="2"/>
    </row>
    <row r="826" spans="7:12">
      <c r="G826" s="2"/>
      <c r="H826" s="3"/>
      <c r="I826" s="3"/>
      <c r="L826" s="2"/>
    </row>
    <row r="827" spans="7:12">
      <c r="G827" s="2"/>
      <c r="H827" s="3"/>
      <c r="I827" s="3"/>
      <c r="L827" s="2"/>
    </row>
    <row r="828" spans="7:12">
      <c r="G828" s="2"/>
      <c r="H828" s="3"/>
      <c r="I828" s="3"/>
      <c r="L828" s="2"/>
    </row>
    <row r="829" spans="7:12">
      <c r="G829" s="2"/>
      <c r="H829" s="3"/>
      <c r="I829" s="3"/>
      <c r="L829" s="2"/>
    </row>
    <row r="830" spans="7:12">
      <c r="G830" s="2"/>
      <c r="H830" s="3"/>
      <c r="I830" s="3"/>
      <c r="L830" s="2"/>
    </row>
    <row r="831" spans="7:12">
      <c r="G831" s="2"/>
      <c r="H831" s="3"/>
      <c r="I831" s="3"/>
      <c r="L831" s="2"/>
    </row>
    <row r="832" spans="7:12">
      <c r="G832" s="2"/>
      <c r="H832" s="3"/>
      <c r="I832" s="3"/>
      <c r="L832" s="2"/>
    </row>
    <row r="833" spans="7:12">
      <c r="G833" s="2"/>
      <c r="H833" s="3"/>
      <c r="I833" s="3"/>
      <c r="L833" s="2"/>
    </row>
    <row r="834" spans="7:12">
      <c r="G834" s="2"/>
      <c r="H834" s="3"/>
      <c r="I834" s="3"/>
      <c r="L834" s="2"/>
    </row>
    <row r="835" spans="7:12">
      <c r="G835" s="2"/>
      <c r="H835" s="3"/>
      <c r="I835" s="3"/>
      <c r="L835" s="2"/>
    </row>
    <row r="836" spans="7:12">
      <c r="G836" s="2"/>
      <c r="H836" s="3"/>
      <c r="I836" s="3"/>
      <c r="L836" s="2"/>
    </row>
    <row r="837" spans="7:12">
      <c r="G837" s="2"/>
      <c r="H837" s="3"/>
      <c r="I837" s="3"/>
      <c r="L837" s="2"/>
    </row>
    <row r="838" spans="7:12">
      <c r="G838" s="2"/>
      <c r="H838" s="3"/>
      <c r="I838" s="3"/>
      <c r="L838" s="2"/>
    </row>
    <row r="839" spans="7:12">
      <c r="G839" s="2"/>
      <c r="H839" s="3"/>
      <c r="I839" s="3"/>
      <c r="L839" s="2"/>
    </row>
    <row r="840" spans="7:12">
      <c r="G840" s="2"/>
      <c r="H840" s="3"/>
      <c r="I840" s="3"/>
      <c r="L840" s="2"/>
    </row>
    <row r="841" spans="7:12">
      <c r="G841" s="2"/>
      <c r="H841" s="3"/>
      <c r="I841" s="3"/>
      <c r="L841" s="2"/>
    </row>
    <row r="842" spans="7:12">
      <c r="G842" s="2"/>
      <c r="H842" s="3"/>
      <c r="I842" s="3"/>
      <c r="L842" s="2"/>
    </row>
    <row r="843" spans="7:12">
      <c r="G843" s="2"/>
      <c r="H843" s="3"/>
      <c r="I843" s="3"/>
      <c r="L843" s="2"/>
    </row>
    <row r="844" spans="7:12">
      <c r="G844" s="2"/>
      <c r="H844" s="3"/>
      <c r="I844" s="3"/>
      <c r="L844" s="2"/>
    </row>
    <row r="845" spans="7:12">
      <c r="G845" s="2"/>
      <c r="H845" s="3"/>
      <c r="I845" s="3"/>
      <c r="L845" s="2"/>
    </row>
    <row r="846" spans="7:12">
      <c r="G846" s="2"/>
      <c r="H846" s="3"/>
      <c r="I846" s="3"/>
      <c r="L846" s="2"/>
    </row>
    <row r="847" spans="7:12">
      <c r="G847" s="2"/>
      <c r="H847" s="3"/>
      <c r="I847" s="3"/>
      <c r="L847" s="2"/>
    </row>
    <row r="848" spans="7:12">
      <c r="G848" s="2"/>
      <c r="H848" s="3"/>
      <c r="I848" s="3"/>
      <c r="L848" s="2"/>
    </row>
    <row r="849" spans="7:12">
      <c r="G849" s="2"/>
      <c r="H849" s="3"/>
      <c r="I849" s="3"/>
      <c r="L849" s="2"/>
    </row>
    <row r="850" spans="7:12">
      <c r="G850" s="2"/>
      <c r="H850" s="3"/>
      <c r="I850" s="3"/>
      <c r="L850" s="2"/>
    </row>
    <row r="851" spans="7:12">
      <c r="G851" s="2"/>
      <c r="H851" s="3"/>
      <c r="I851" s="3"/>
      <c r="L851" s="2"/>
    </row>
    <row r="852" spans="7:12">
      <c r="G852" s="2"/>
      <c r="H852" s="3"/>
      <c r="I852" s="3"/>
      <c r="L852" s="2"/>
    </row>
    <row r="853" spans="7:12">
      <c r="G853" s="2"/>
      <c r="H853" s="3"/>
      <c r="I853" s="3"/>
      <c r="L853" s="2"/>
    </row>
    <row r="854" spans="7:12">
      <c r="G854" s="2"/>
      <c r="H854" s="3"/>
      <c r="I854" s="3"/>
      <c r="L854" s="2"/>
    </row>
    <row r="855" spans="7:12">
      <c r="G855" s="2"/>
      <c r="H855" s="3"/>
      <c r="I855" s="3"/>
      <c r="L855" s="2"/>
    </row>
    <row r="856" spans="7:12">
      <c r="G856" s="2"/>
      <c r="H856" s="3"/>
      <c r="I856" s="3"/>
      <c r="L856" s="2"/>
    </row>
    <row r="857" spans="7:12">
      <c r="G857" s="2"/>
      <c r="H857" s="3"/>
      <c r="I857" s="3"/>
      <c r="L857" s="2"/>
    </row>
    <row r="858" spans="7:12">
      <c r="G858" s="2"/>
      <c r="H858" s="3"/>
      <c r="I858" s="3"/>
      <c r="L858" s="2"/>
    </row>
    <row r="859" spans="7:12">
      <c r="G859" s="2"/>
      <c r="H859" s="3"/>
      <c r="I859" s="3"/>
      <c r="L859" s="2"/>
    </row>
    <row r="860" spans="7:12">
      <c r="G860" s="2"/>
      <c r="H860" s="3"/>
      <c r="I860" s="3"/>
      <c r="L860" s="2"/>
    </row>
    <row r="861" spans="7:12">
      <c r="G861" s="2"/>
      <c r="H861" s="3"/>
      <c r="I861" s="3"/>
      <c r="L861" s="2"/>
    </row>
    <row r="862" spans="7:12">
      <c r="G862" s="2"/>
      <c r="H862" s="3"/>
      <c r="I862" s="3"/>
      <c r="L862" s="2"/>
    </row>
    <row r="863" spans="7:12">
      <c r="G863" s="2"/>
      <c r="H863" s="3"/>
      <c r="I863" s="3"/>
      <c r="L863" s="2"/>
    </row>
    <row r="864" spans="7:12">
      <c r="G864" s="2"/>
      <c r="H864" s="3"/>
      <c r="I864" s="3"/>
      <c r="L864" s="2"/>
    </row>
    <row r="865" spans="7:12">
      <c r="G865" s="2"/>
      <c r="H865" s="3"/>
      <c r="I865" s="3"/>
      <c r="L865" s="2"/>
    </row>
    <row r="866" spans="7:12">
      <c r="G866" s="2"/>
      <c r="H866" s="3"/>
      <c r="I866" s="3"/>
      <c r="L866" s="2"/>
    </row>
    <row r="867" spans="7:12">
      <c r="G867" s="2"/>
      <c r="H867" s="3"/>
      <c r="I867" s="3"/>
      <c r="L867" s="2"/>
    </row>
    <row r="868" spans="7:12">
      <c r="G868" s="2"/>
      <c r="H868" s="3"/>
      <c r="I868" s="3"/>
      <c r="L868" s="2"/>
    </row>
    <row r="869" spans="7:12">
      <c r="G869" s="2"/>
      <c r="H869" s="3"/>
      <c r="I869" s="3"/>
      <c r="L869" s="2"/>
    </row>
    <row r="870" spans="7:12">
      <c r="G870" s="2"/>
      <c r="H870" s="3"/>
      <c r="I870" s="3"/>
      <c r="L870" s="2"/>
    </row>
    <row r="871" spans="7:12">
      <c r="G871" s="2"/>
      <c r="H871" s="3"/>
      <c r="I871" s="3"/>
      <c r="L871" s="2"/>
    </row>
    <row r="872" spans="7:12">
      <c r="G872" s="2"/>
      <c r="H872" s="3"/>
      <c r="I872" s="3"/>
      <c r="L872" s="2"/>
    </row>
    <row r="873" spans="7:12">
      <c r="G873" s="2"/>
      <c r="H873" s="3"/>
      <c r="I873" s="3"/>
      <c r="L873" s="2"/>
    </row>
    <row r="874" spans="7:12">
      <c r="G874" s="2"/>
      <c r="H874" s="3"/>
      <c r="I874" s="3"/>
      <c r="L874" s="2"/>
    </row>
    <row r="875" spans="7:12">
      <c r="G875" s="2"/>
      <c r="H875" s="3"/>
      <c r="I875" s="3"/>
      <c r="L875" s="2"/>
    </row>
    <row r="876" spans="7:12">
      <c r="G876" s="2"/>
      <c r="H876" s="3"/>
      <c r="I876" s="3"/>
      <c r="L876" s="2"/>
    </row>
    <row r="877" spans="7:12">
      <c r="G877" s="2"/>
      <c r="H877" s="3"/>
      <c r="I877" s="3"/>
      <c r="L877" s="2"/>
    </row>
    <row r="878" spans="7:12">
      <c r="G878" s="2"/>
      <c r="H878" s="3"/>
      <c r="I878" s="3"/>
      <c r="L878" s="2"/>
    </row>
    <row r="879" spans="7:12">
      <c r="G879" s="2"/>
      <c r="H879" s="3"/>
      <c r="I879" s="3"/>
      <c r="L879" s="2"/>
    </row>
    <row r="880" spans="7:12">
      <c r="G880" s="2"/>
      <c r="H880" s="3"/>
      <c r="I880" s="3"/>
      <c r="L880" s="2"/>
    </row>
    <row r="881" spans="7:12">
      <c r="G881" s="2"/>
      <c r="H881" s="3"/>
      <c r="I881" s="3"/>
      <c r="L881" s="2"/>
    </row>
    <row r="882" spans="7:12">
      <c r="G882" s="2"/>
      <c r="H882" s="3"/>
      <c r="I882" s="3"/>
      <c r="L882" s="2"/>
    </row>
    <row r="883" spans="7:12">
      <c r="G883" s="2"/>
      <c r="H883" s="3"/>
      <c r="I883" s="3"/>
      <c r="L883" s="2"/>
    </row>
    <row r="884" spans="7:12">
      <c r="G884" s="2"/>
      <c r="H884" s="3"/>
      <c r="I884" s="3"/>
      <c r="L884" s="2"/>
    </row>
    <row r="885" spans="7:12">
      <c r="G885" s="2"/>
      <c r="H885" s="3"/>
      <c r="I885" s="3"/>
      <c r="L885" s="2"/>
    </row>
    <row r="886" spans="7:12">
      <c r="G886" s="2"/>
      <c r="H886" s="3"/>
      <c r="I886" s="3"/>
      <c r="L886" s="2"/>
    </row>
    <row r="887" spans="7:12">
      <c r="G887" s="2"/>
      <c r="H887" s="3"/>
      <c r="I887" s="3"/>
      <c r="L887" s="2"/>
    </row>
    <row r="888" spans="7:12">
      <c r="G888" s="2"/>
      <c r="H888" s="3"/>
      <c r="I888" s="3"/>
      <c r="L888" s="2"/>
    </row>
    <row r="889" spans="7:12">
      <c r="G889" s="2"/>
      <c r="H889" s="3"/>
      <c r="I889" s="3"/>
      <c r="L889" s="2"/>
    </row>
    <row r="890" spans="7:12">
      <c r="G890" s="2"/>
      <c r="H890" s="3"/>
      <c r="I890" s="3"/>
      <c r="L890" s="2"/>
    </row>
    <row r="891" spans="7:12">
      <c r="G891" s="2"/>
      <c r="H891" s="3"/>
      <c r="I891" s="3"/>
      <c r="L891" s="2"/>
    </row>
    <row r="892" spans="7:12">
      <c r="G892" s="2"/>
      <c r="H892" s="3"/>
      <c r="I892" s="3"/>
      <c r="L892" s="2"/>
    </row>
    <row r="893" spans="7:12">
      <c r="G893" s="2"/>
      <c r="H893" s="3"/>
      <c r="I893" s="3"/>
      <c r="L893" s="2"/>
    </row>
    <row r="894" spans="7:12">
      <c r="G894" s="2"/>
      <c r="H894" s="3"/>
      <c r="I894" s="3"/>
      <c r="L894" s="2"/>
    </row>
    <row r="895" spans="7:12">
      <c r="G895" s="2"/>
      <c r="H895" s="3"/>
      <c r="I895" s="3"/>
      <c r="L895" s="2"/>
    </row>
    <row r="896" spans="7:12">
      <c r="G896" s="2"/>
      <c r="H896" s="3"/>
      <c r="I896" s="3"/>
      <c r="L896" s="2"/>
    </row>
    <row r="897" spans="7:12">
      <c r="G897" s="2"/>
      <c r="H897" s="3"/>
      <c r="I897" s="3"/>
      <c r="L897" s="2"/>
    </row>
    <row r="898" spans="7:12">
      <c r="G898" s="2"/>
      <c r="H898" s="3"/>
      <c r="I898" s="3"/>
      <c r="L898" s="2"/>
    </row>
    <row r="899" spans="7:12">
      <c r="G899" s="2"/>
      <c r="H899" s="3"/>
      <c r="I899" s="3"/>
      <c r="L899" s="2"/>
    </row>
    <row r="900" spans="7:12">
      <c r="G900" s="2"/>
      <c r="H900" s="3"/>
      <c r="I900" s="3"/>
      <c r="L900" s="2"/>
    </row>
    <row r="901" spans="7:12">
      <c r="G901" s="2"/>
      <c r="H901" s="3"/>
      <c r="I901" s="3"/>
      <c r="L901" s="2"/>
    </row>
    <row r="902" spans="7:12">
      <c r="G902" s="2"/>
      <c r="H902" s="3"/>
      <c r="I902" s="3"/>
      <c r="L902" s="2"/>
    </row>
    <row r="903" spans="7:12">
      <c r="G903" s="2"/>
      <c r="H903" s="3"/>
      <c r="I903" s="3"/>
      <c r="L903" s="2"/>
    </row>
    <row r="904" spans="7:12">
      <c r="G904" s="2"/>
      <c r="H904" s="3"/>
      <c r="I904" s="3"/>
      <c r="L904" s="2"/>
    </row>
    <row r="905" spans="7:12">
      <c r="G905" s="2"/>
      <c r="H905" s="3"/>
      <c r="I905" s="3"/>
      <c r="L905" s="2"/>
    </row>
    <row r="906" spans="7:12">
      <c r="G906" s="2"/>
      <c r="H906" s="3"/>
      <c r="I906" s="3"/>
      <c r="L906" s="2"/>
    </row>
    <row r="907" spans="7:12">
      <c r="G907" s="2"/>
      <c r="H907" s="3"/>
      <c r="I907" s="3"/>
      <c r="L907" s="2"/>
    </row>
    <row r="908" spans="7:12">
      <c r="G908" s="2"/>
      <c r="H908" s="3"/>
      <c r="I908" s="3"/>
      <c r="L908" s="2"/>
    </row>
    <row r="909" spans="7:12">
      <c r="G909" s="2"/>
      <c r="H909" s="3"/>
      <c r="I909" s="3"/>
      <c r="L909" s="2"/>
    </row>
    <row r="910" spans="7:12">
      <c r="G910" s="2"/>
      <c r="H910" s="3"/>
      <c r="I910" s="3"/>
      <c r="L910" s="2"/>
    </row>
    <row r="911" spans="7:12">
      <c r="G911" s="2"/>
      <c r="H911" s="3"/>
      <c r="I911" s="3"/>
      <c r="L911" s="2"/>
    </row>
    <row r="912" spans="7:12">
      <c r="G912" s="2"/>
      <c r="H912" s="3"/>
      <c r="I912" s="3"/>
      <c r="L912" s="2"/>
    </row>
    <row r="913" spans="7:12">
      <c r="G913" s="2"/>
      <c r="H913" s="3"/>
      <c r="I913" s="3"/>
      <c r="L913" s="2"/>
    </row>
    <row r="914" spans="7:12">
      <c r="G914" s="2"/>
      <c r="H914" s="3"/>
      <c r="I914" s="3"/>
      <c r="L914" s="2"/>
    </row>
    <row r="915" spans="7:12">
      <c r="G915" s="2"/>
      <c r="H915" s="3"/>
      <c r="I915" s="3"/>
      <c r="L915" s="2"/>
    </row>
    <row r="916" spans="7:12">
      <c r="G916" s="2"/>
      <c r="H916" s="3"/>
      <c r="I916" s="3"/>
      <c r="L916" s="2"/>
    </row>
    <row r="917" spans="7:12">
      <c r="G917" s="2"/>
      <c r="H917" s="3"/>
      <c r="I917" s="3"/>
      <c r="L917" s="2"/>
    </row>
    <row r="918" spans="7:12">
      <c r="G918" s="2"/>
      <c r="H918" s="3"/>
      <c r="I918" s="3"/>
      <c r="L918" s="2"/>
    </row>
    <row r="919" spans="7:12">
      <c r="G919" s="2"/>
      <c r="H919" s="3"/>
      <c r="I919" s="3"/>
      <c r="L919" s="2"/>
    </row>
    <row r="920" spans="7:12">
      <c r="G920" s="2"/>
      <c r="H920" s="3"/>
      <c r="I920" s="3"/>
      <c r="L920" s="2"/>
    </row>
    <row r="921" spans="7:12">
      <c r="G921" s="2"/>
      <c r="H921" s="3"/>
      <c r="I921" s="3"/>
      <c r="L921" s="2"/>
    </row>
    <row r="922" spans="7:12">
      <c r="G922" s="2"/>
      <c r="H922" s="3"/>
      <c r="I922" s="3"/>
      <c r="L922" s="2"/>
    </row>
    <row r="923" spans="7:12">
      <c r="G923" s="2"/>
      <c r="H923" s="3"/>
      <c r="I923" s="3"/>
      <c r="L923" s="2"/>
    </row>
    <row r="924" spans="7:12">
      <c r="G924" s="2"/>
      <c r="H924" s="3"/>
      <c r="I924" s="3"/>
      <c r="L924" s="2"/>
    </row>
    <row r="925" spans="7:12">
      <c r="G925" s="2"/>
      <c r="H925" s="3"/>
      <c r="I925" s="3"/>
      <c r="L925" s="2"/>
    </row>
    <row r="926" spans="7:12">
      <c r="G926" s="2"/>
      <c r="H926" s="3"/>
      <c r="I926" s="3"/>
      <c r="L926" s="2"/>
    </row>
    <row r="927" spans="7:12">
      <c r="G927" s="2"/>
      <c r="H927" s="3"/>
      <c r="I927" s="3"/>
      <c r="L927" s="2"/>
    </row>
    <row r="928" spans="7:12">
      <c r="G928" s="2"/>
      <c r="H928" s="3"/>
      <c r="I928" s="3"/>
      <c r="L928" s="2"/>
    </row>
    <row r="929" spans="7:12">
      <c r="G929" s="2"/>
      <c r="H929" s="3"/>
      <c r="I929" s="3"/>
      <c r="L929" s="2"/>
    </row>
    <row r="930" spans="7:12">
      <c r="G930" s="2"/>
      <c r="H930" s="3"/>
      <c r="I930" s="3"/>
      <c r="L930" s="2"/>
    </row>
    <row r="931" spans="7:12">
      <c r="G931" s="2"/>
      <c r="H931" s="3"/>
      <c r="I931" s="3"/>
      <c r="L931" s="2"/>
    </row>
    <row r="932" spans="7:12">
      <c r="G932" s="2"/>
      <c r="H932" s="3"/>
      <c r="I932" s="3"/>
      <c r="L932" s="2"/>
    </row>
    <row r="933" spans="7:12">
      <c r="G933" s="2"/>
      <c r="H933" s="3"/>
      <c r="I933" s="3"/>
      <c r="L933" s="2"/>
    </row>
    <row r="934" spans="7:12">
      <c r="G934" s="2"/>
      <c r="H934" s="3"/>
      <c r="I934" s="3"/>
      <c r="L934" s="2"/>
    </row>
    <row r="935" spans="7:12">
      <c r="G935" s="2"/>
      <c r="H935" s="3"/>
      <c r="I935" s="3"/>
      <c r="L935" s="2"/>
    </row>
    <row r="936" spans="7:12">
      <c r="G936" s="2"/>
      <c r="H936" s="3"/>
      <c r="I936" s="3"/>
      <c r="L936" s="2"/>
    </row>
    <row r="937" spans="7:12">
      <c r="G937" s="2"/>
      <c r="H937" s="3"/>
      <c r="I937" s="3"/>
      <c r="L937" s="2"/>
    </row>
    <row r="938" spans="7:12">
      <c r="G938" s="2"/>
      <c r="H938" s="3"/>
      <c r="I938" s="3"/>
      <c r="L938" s="2"/>
    </row>
    <row r="939" spans="7:12">
      <c r="G939" s="2"/>
      <c r="H939" s="3"/>
      <c r="I939" s="3"/>
      <c r="L939" s="2"/>
    </row>
    <row r="940" spans="7:12">
      <c r="G940" s="2"/>
      <c r="H940" s="3"/>
      <c r="I940" s="3"/>
      <c r="L940" s="2"/>
    </row>
    <row r="941" spans="7:12">
      <c r="G941" s="2"/>
      <c r="H941" s="3"/>
      <c r="I941" s="3"/>
      <c r="L941" s="2"/>
    </row>
    <row r="942" spans="7:12">
      <c r="G942" s="2"/>
      <c r="H942" s="3"/>
      <c r="I942" s="3"/>
      <c r="L942" s="2"/>
    </row>
    <row r="943" spans="7:12">
      <c r="G943" s="2"/>
      <c r="H943" s="3"/>
      <c r="I943" s="3"/>
      <c r="L943" s="2"/>
    </row>
    <row r="944" spans="7:12">
      <c r="G944" s="2"/>
      <c r="H944" s="3"/>
      <c r="I944" s="3"/>
      <c r="L944" s="2"/>
    </row>
    <row r="945" spans="7:12">
      <c r="G945" s="2"/>
      <c r="H945" s="3"/>
      <c r="I945" s="3"/>
      <c r="L945" s="2"/>
    </row>
    <row r="946" spans="7:12">
      <c r="G946" s="2"/>
      <c r="H946" s="3"/>
      <c r="I946" s="3"/>
      <c r="L946" s="2"/>
    </row>
    <row r="947" spans="7:12">
      <c r="G947" s="2"/>
      <c r="H947" s="3"/>
      <c r="I947" s="3"/>
      <c r="L947" s="2"/>
    </row>
    <row r="948" spans="7:12">
      <c r="G948" s="2"/>
      <c r="H948" s="3"/>
      <c r="I948" s="3"/>
      <c r="L948" s="2"/>
    </row>
    <row r="949" spans="7:12">
      <c r="G949" s="2"/>
      <c r="H949" s="3"/>
      <c r="I949" s="3"/>
      <c r="L949" s="2"/>
    </row>
    <row r="950" spans="7:12">
      <c r="G950" s="2"/>
      <c r="H950" s="3"/>
      <c r="I950" s="3"/>
      <c r="L950" s="2"/>
    </row>
    <row r="951" spans="7:12">
      <c r="G951" s="2"/>
      <c r="H951" s="3"/>
      <c r="I951" s="3"/>
      <c r="L951" s="2"/>
    </row>
    <row r="952" spans="7:12">
      <c r="G952" s="2"/>
      <c r="H952" s="3"/>
      <c r="I952" s="3"/>
      <c r="L952" s="2"/>
    </row>
    <row r="953" spans="7:12">
      <c r="G953" s="2"/>
      <c r="H953" s="3"/>
      <c r="I953" s="3"/>
      <c r="L953" s="2"/>
    </row>
    <row r="954" spans="7:12">
      <c r="G954" s="2"/>
      <c r="H954" s="3"/>
      <c r="I954" s="3"/>
      <c r="L954" s="2"/>
    </row>
    <row r="955" spans="7:12">
      <c r="G955" s="2"/>
      <c r="H955" s="3"/>
      <c r="I955" s="3"/>
      <c r="L955" s="2"/>
    </row>
    <row r="956" spans="7:12">
      <c r="G956" s="2"/>
      <c r="H956" s="3"/>
      <c r="I956" s="3"/>
      <c r="L956" s="2"/>
    </row>
    <row r="957" spans="7:12">
      <c r="G957" s="2"/>
      <c r="H957" s="3"/>
      <c r="I957" s="3"/>
      <c r="L957" s="2"/>
    </row>
    <row r="958" spans="7:12">
      <c r="G958" s="2"/>
      <c r="H958" s="3"/>
      <c r="I958" s="3"/>
      <c r="L958" s="2"/>
    </row>
    <row r="959" spans="7:12">
      <c r="G959" s="2"/>
      <c r="H959" s="3"/>
      <c r="I959" s="3"/>
      <c r="L959" s="2"/>
    </row>
    <row r="960" spans="7:12">
      <c r="G960" s="2"/>
      <c r="H960" s="3"/>
      <c r="I960" s="3"/>
      <c r="L960" s="2"/>
    </row>
    <row r="961" spans="7:12">
      <c r="G961" s="2"/>
      <c r="H961" s="3"/>
      <c r="I961" s="3"/>
      <c r="L961" s="2"/>
    </row>
    <row r="962" spans="7:12">
      <c r="G962" s="2"/>
      <c r="H962" s="3"/>
      <c r="I962" s="3"/>
      <c r="L962" s="2"/>
    </row>
    <row r="963" spans="7:12">
      <c r="G963" s="2"/>
      <c r="H963" s="3"/>
      <c r="I963" s="3"/>
      <c r="L963" s="2"/>
    </row>
    <row r="964" spans="7:12">
      <c r="G964" s="2"/>
      <c r="H964" s="3"/>
      <c r="I964" s="3"/>
      <c r="L964" s="2"/>
    </row>
    <row r="965" spans="7:12">
      <c r="G965" s="2"/>
      <c r="H965" s="3"/>
      <c r="I965" s="3"/>
      <c r="L965" s="2"/>
    </row>
    <row r="966" spans="7:12">
      <c r="G966" s="2"/>
      <c r="H966" s="3"/>
      <c r="I966" s="3"/>
      <c r="L966" s="2"/>
    </row>
    <row r="967" spans="7:12">
      <c r="G967" s="2"/>
      <c r="H967" s="3"/>
      <c r="I967" s="3"/>
      <c r="L967" s="2"/>
    </row>
    <row r="968" spans="7:12">
      <c r="G968" s="2"/>
      <c r="H968" s="3"/>
      <c r="I968" s="3"/>
      <c r="L968" s="2"/>
    </row>
    <row r="969" spans="7:12">
      <c r="G969" s="2"/>
      <c r="H969" s="3"/>
      <c r="I969" s="3"/>
      <c r="L969" s="2"/>
    </row>
    <row r="970" spans="7:12">
      <c r="G970" s="2"/>
      <c r="H970" s="3"/>
      <c r="I970" s="3"/>
      <c r="L970" s="2"/>
    </row>
    <row r="971" spans="7:12">
      <c r="G971" s="2"/>
      <c r="H971" s="3"/>
      <c r="I971" s="3"/>
      <c r="L971" s="2"/>
    </row>
    <row r="972" spans="7:12">
      <c r="G972" s="2"/>
      <c r="H972" s="3"/>
      <c r="I972" s="3"/>
      <c r="L972" s="2"/>
    </row>
    <row r="973" spans="7:12">
      <c r="G973" s="2"/>
      <c r="H973" s="3"/>
      <c r="I973" s="3"/>
      <c r="L973" s="2"/>
    </row>
    <row r="974" spans="7:12">
      <c r="G974" s="2"/>
      <c r="H974" s="3"/>
      <c r="I974" s="3"/>
      <c r="L974" s="2"/>
    </row>
    <row r="975" spans="7:12">
      <c r="G975" s="2"/>
      <c r="H975" s="3"/>
      <c r="I975" s="3"/>
      <c r="L975" s="2"/>
    </row>
    <row r="976" spans="7:12">
      <c r="G976" s="2"/>
      <c r="H976" s="3"/>
      <c r="I976" s="3"/>
      <c r="L976" s="2"/>
    </row>
    <row r="977" spans="7:12">
      <c r="G977" s="2"/>
      <c r="H977" s="3"/>
      <c r="I977" s="3"/>
      <c r="L977" s="2"/>
    </row>
    <row r="978" spans="7:12">
      <c r="G978" s="2"/>
      <c r="H978" s="3"/>
      <c r="I978" s="3"/>
      <c r="L978" s="2"/>
    </row>
    <row r="979" spans="7:12">
      <c r="G979" s="2"/>
      <c r="H979" s="3"/>
      <c r="I979" s="3"/>
      <c r="L979" s="2"/>
    </row>
    <row r="980" spans="7:12">
      <c r="G980" s="2"/>
      <c r="H980" s="3"/>
      <c r="I980" s="3"/>
      <c r="L980" s="2"/>
    </row>
    <row r="981" spans="7:12">
      <c r="G981" s="2"/>
      <c r="H981" s="3"/>
      <c r="I981" s="3"/>
      <c r="L981" s="2"/>
    </row>
    <row r="982" spans="7:12">
      <c r="G982" s="2"/>
      <c r="H982" s="3"/>
      <c r="I982" s="3"/>
      <c r="L982" s="2"/>
    </row>
    <row r="983" spans="7:12">
      <c r="G983" s="2"/>
      <c r="H983" s="3"/>
      <c r="I983" s="3"/>
      <c r="L983" s="2"/>
    </row>
    <row r="984" spans="7:12">
      <c r="G984" s="2"/>
      <c r="H984" s="3"/>
      <c r="I984" s="3"/>
      <c r="L984" s="2"/>
    </row>
    <row r="985" spans="7:12">
      <c r="G985" s="2"/>
      <c r="H985" s="3"/>
      <c r="I985" s="3"/>
      <c r="L985" s="2"/>
    </row>
    <row r="986" spans="7:12">
      <c r="G986" s="2"/>
      <c r="H986" s="3"/>
      <c r="I986" s="3"/>
      <c r="L986" s="2"/>
    </row>
    <row r="987" spans="7:12">
      <c r="G987" s="2"/>
      <c r="H987" s="3"/>
      <c r="I987" s="3"/>
      <c r="L987" s="2"/>
    </row>
    <row r="988" spans="7:12">
      <c r="G988" s="2"/>
      <c r="H988" s="3"/>
      <c r="I988" s="3"/>
      <c r="L988" s="2"/>
    </row>
    <row r="989" spans="7:12">
      <c r="G989" s="2"/>
      <c r="H989" s="3"/>
      <c r="I989" s="3"/>
      <c r="L989" s="2"/>
    </row>
    <row r="990" spans="7:12">
      <c r="G990" s="2"/>
      <c r="H990" s="3"/>
      <c r="I990" s="3"/>
      <c r="L990" s="2"/>
    </row>
    <row r="991" spans="7:12">
      <c r="G991" s="2"/>
      <c r="H991" s="3"/>
      <c r="I991" s="3"/>
      <c r="L991" s="2"/>
    </row>
    <row r="992" spans="7:12">
      <c r="G992" s="2"/>
      <c r="H992" s="3"/>
      <c r="I992" s="3"/>
      <c r="L992" s="2"/>
    </row>
    <row r="993" spans="7:12">
      <c r="G993" s="2"/>
      <c r="H993" s="3"/>
      <c r="I993" s="3"/>
      <c r="L993" s="2"/>
    </row>
    <row r="994" spans="7:12">
      <c r="G994" s="2"/>
      <c r="H994" s="3"/>
      <c r="I994" s="3"/>
      <c r="L994" s="2"/>
    </row>
    <row r="995" spans="7:12">
      <c r="G995" s="2"/>
      <c r="H995" s="3"/>
      <c r="I995" s="3"/>
      <c r="L995" s="2"/>
    </row>
    <row r="996" spans="7:12">
      <c r="G996" s="2"/>
      <c r="H996" s="3"/>
      <c r="I996" s="3"/>
      <c r="L996" s="2"/>
    </row>
    <row r="997" spans="7:12">
      <c r="G997" s="2"/>
      <c r="H997" s="3"/>
      <c r="I997" s="3"/>
      <c r="L997" s="2"/>
    </row>
    <row r="998" spans="7:12">
      <c r="G998" s="2"/>
      <c r="H998" s="3"/>
      <c r="I998" s="3"/>
      <c r="L998" s="2"/>
    </row>
    <row r="999" spans="7:12">
      <c r="G999" s="2"/>
      <c r="H999" s="3"/>
      <c r="I999" s="3"/>
      <c r="L999" s="2"/>
    </row>
    <row r="1000" spans="7:12">
      <c r="G1000" s="2"/>
      <c r="H1000" s="3"/>
      <c r="I1000" s="3"/>
      <c r="L1000" s="2"/>
    </row>
  </sheetData>
  <dataValidations count="2">
    <dataValidation type="list" allowBlank="1" showInputMessage="1" showErrorMessage="1" sqref="B3" xr:uid="{EC8E9012-B898-4C9F-9144-FF3D8A7F2313}">
      <formula1>INDIRECT("tblCategories[Name]")</formula1>
    </dataValidation>
    <dataValidation type="list" allowBlank="1" showInputMessage="1" showErrorMessage="1" sqref="B4" xr:uid="{25F0EF90-8FD9-4EAD-B8A7-C47C585F10B9}">
      <formula1>INDIRECT("tblStatus")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2A2A6-1ED7-4B97-BFED-DBD818D6B7AC}">
  <dimension ref="A1:AA2"/>
  <sheetViews>
    <sheetView workbookViewId="0"/>
  </sheetViews>
  <sheetFormatPr defaultRowHeight="13.5"/>
  <cols>
    <col min="1" max="1" width="12.5625" customWidth="1"/>
    <col min="2" max="2" width="36.5625" customWidth="1"/>
    <col min="3" max="3" width="12.5625" customWidth="1"/>
    <col min="4" max="4" width="36.5625" customWidth="1"/>
    <col min="5" max="5" width="22.5625" customWidth="1"/>
    <col min="6" max="6" width="36.5625" customWidth="1"/>
    <col min="7" max="7" width="17.5625" customWidth="1"/>
    <col min="8" max="8" width="18.5625" customWidth="1"/>
    <col min="9" max="9" width="19.5625" customWidth="1"/>
    <col min="10" max="10" width="15.5625" customWidth="1"/>
    <col min="11" max="11" width="14.5625" customWidth="1"/>
    <col min="12" max="12" width="12.5625" customWidth="1"/>
    <col min="13" max="13" width="13.5625" customWidth="1"/>
    <col min="14" max="15" width="12.5625" customWidth="1"/>
    <col min="16" max="16" width="36.5625" customWidth="1"/>
    <col min="17" max="17" width="15.5625" customWidth="1"/>
    <col min="18" max="18" width="16.5625" customWidth="1"/>
    <col min="19" max="19" width="12.5625" customWidth="1"/>
    <col min="20" max="20" width="26.5625" customWidth="1"/>
    <col min="21" max="21" width="12.5625" customWidth="1"/>
    <col min="22" max="22" width="16.5625" customWidth="1"/>
    <col min="23" max="23" width="12.5625" customWidth="1"/>
    <col min="24" max="24" width="22.5625" customWidth="1"/>
    <col min="25" max="26" width="12.5625" customWidth="1"/>
    <col min="27" max="27" width="31.5625" customWidth="1"/>
  </cols>
  <sheetData>
    <row r="1" spans="1:27">
      <c r="A1" s="5" t="s">
        <v>74</v>
      </c>
      <c r="B1" s="5" t="s">
        <v>0</v>
      </c>
      <c r="C1" s="5" t="s">
        <v>75</v>
      </c>
      <c r="D1" s="5" t="s">
        <v>76</v>
      </c>
      <c r="E1" s="5" t="s">
        <v>19</v>
      </c>
      <c r="F1" s="5" t="s">
        <v>77</v>
      </c>
      <c r="G1" s="5" t="s">
        <v>78</v>
      </c>
      <c r="H1" s="5" t="s">
        <v>79</v>
      </c>
      <c r="I1" s="5" t="s">
        <v>80</v>
      </c>
      <c r="J1" s="5" t="s">
        <v>21</v>
      </c>
      <c r="K1" s="5" t="s">
        <v>81</v>
      </c>
      <c r="L1" s="5" t="s">
        <v>82</v>
      </c>
      <c r="M1" s="5" t="s">
        <v>23</v>
      </c>
      <c r="N1" s="5" t="s">
        <v>25</v>
      </c>
      <c r="O1" s="5" t="s">
        <v>83</v>
      </c>
      <c r="P1" s="5" t="s">
        <v>84</v>
      </c>
      <c r="Q1" s="5" t="s">
        <v>85</v>
      </c>
      <c r="R1" s="5" t="s">
        <v>86</v>
      </c>
      <c r="S1" s="5" t="s">
        <v>87</v>
      </c>
      <c r="T1" s="5" t="s">
        <v>88</v>
      </c>
      <c r="U1" s="5" t="s">
        <v>27</v>
      </c>
      <c r="V1" s="5" t="s">
        <v>89</v>
      </c>
      <c r="W1" s="5" t="s">
        <v>29</v>
      </c>
      <c r="X1" s="5" t="s">
        <v>90</v>
      </c>
      <c r="Y1" s="5" t="s">
        <v>91</v>
      </c>
      <c r="Z1" s="5" t="s">
        <v>31</v>
      </c>
      <c r="AA1" s="5" t="s">
        <v>32</v>
      </c>
    </row>
    <row r="2" spans="1:27">
      <c r="A2" s="1"/>
      <c r="G2" s="2"/>
      <c r="H2" s="3"/>
      <c r="I2" s="3"/>
      <c r="K2" s="2"/>
      <c r="R2" s="4"/>
      <c r="V2" s="1"/>
    </row>
  </sheetData>
  <dataValidations count="6">
    <dataValidation type="list" allowBlank="1" showInputMessage="1" showErrorMessage="1" sqref="E2" xr:uid="{6F22DB3E-597B-40D5-A058-5B774F3386DE}">
      <formula1>INDIRECT("tblAcquiredFrom")</formula1>
    </dataValidation>
    <dataValidation type="list" allowBlank="1" showInputMessage="1" showErrorMessage="1" sqref="J2" xr:uid="{31AD2D31-66FB-48D3-9F9D-B917C3E2143E}">
      <formula1>INDIRECT("tblValueBasis")</formula1>
    </dataValidation>
    <dataValidation type="list" allowBlank="1" showInputMessage="1" showErrorMessage="1" sqref="M2" xr:uid="{EC5BBB16-352E-44A2-835A-A25B76FF313F}">
      <formula1>INDIRECT("tblCondition")</formula1>
    </dataValidation>
    <dataValidation type="list" allowBlank="1" showInputMessage="1" showErrorMessage="1" sqref="N2" xr:uid="{6ABDADD1-581C-48E4-B248-A5416980B4ED}">
      <formula1>INDIRECT("tblStatus")</formula1>
    </dataValidation>
    <dataValidation type="list" allowBlank="1" showInputMessage="1" showErrorMessage="1" sqref="U2" xr:uid="{7606E225-A3C7-4C04-B652-3A12040570FB}">
      <formula1>INDIRECT("tblUnits")</formula1>
    </dataValidation>
    <dataValidation type="list" allowBlank="1" showInputMessage="1" showErrorMessage="1" sqref="W2 Z2 AA2" xr:uid="{3925F2D4-1F2F-4B45-B21A-F187A08CF644}">
      <formula1>INDIRECT("tblYesNo")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51EA0-6F95-46FD-A20C-F8E36EFC4245}">
  <dimension ref="A1:AC2"/>
  <sheetViews>
    <sheetView workbookViewId="0"/>
  </sheetViews>
  <sheetFormatPr defaultRowHeight="13.5"/>
  <cols>
    <col min="1" max="1" width="12.5625" customWidth="1"/>
    <col min="2" max="2" width="36.5625" customWidth="1"/>
    <col min="3" max="3" width="12.5625" customWidth="1"/>
    <col min="4" max="4" width="36.5625" customWidth="1"/>
    <col min="5" max="5" width="22.5625" customWidth="1"/>
    <col min="6" max="6" width="36.5625" customWidth="1"/>
    <col min="7" max="7" width="17.5625" customWidth="1"/>
    <col min="8" max="8" width="18.5625" customWidth="1"/>
    <col min="9" max="9" width="19.5625" customWidth="1"/>
    <col min="10" max="10" width="15.5625" customWidth="1"/>
    <col min="11" max="11" width="14.5625" customWidth="1"/>
    <col min="12" max="12" width="12.5625" customWidth="1"/>
    <col min="13" max="13" width="13.5625" customWidth="1"/>
    <col min="14" max="15" width="12.5625" customWidth="1"/>
    <col min="16" max="16" width="36.5625" customWidth="1"/>
    <col min="17" max="17" width="15.5625" customWidth="1"/>
    <col min="18" max="18" width="16.5625" customWidth="1"/>
    <col min="19" max="20" width="12.5625" customWidth="1"/>
    <col min="21" max="21" width="13.5625" customWidth="1"/>
    <col min="22" max="22" width="20.5625" customWidth="1"/>
    <col min="23" max="26" width="12.5625" customWidth="1"/>
    <col min="27" max="27" width="23.5625" customWidth="1"/>
    <col min="28" max="28" width="15.5625" customWidth="1"/>
    <col min="29" max="29" width="17.5625" customWidth="1"/>
  </cols>
  <sheetData>
    <row r="1" spans="1:29">
      <c r="A1" s="5" t="s">
        <v>74</v>
      </c>
      <c r="B1" s="5" t="s">
        <v>0</v>
      </c>
      <c r="C1" s="5" t="s">
        <v>75</v>
      </c>
      <c r="D1" s="5" t="s">
        <v>76</v>
      </c>
      <c r="E1" s="5" t="s">
        <v>19</v>
      </c>
      <c r="F1" s="5" t="s">
        <v>77</v>
      </c>
      <c r="G1" s="5" t="s">
        <v>78</v>
      </c>
      <c r="H1" s="5" t="s">
        <v>79</v>
      </c>
      <c r="I1" s="5" t="s">
        <v>80</v>
      </c>
      <c r="J1" s="5" t="s">
        <v>21</v>
      </c>
      <c r="K1" s="5" t="s">
        <v>81</v>
      </c>
      <c r="L1" s="5" t="s">
        <v>82</v>
      </c>
      <c r="M1" s="5" t="s">
        <v>23</v>
      </c>
      <c r="N1" s="5" t="s">
        <v>25</v>
      </c>
      <c r="O1" s="5" t="s">
        <v>83</v>
      </c>
      <c r="P1" s="5" t="s">
        <v>84</v>
      </c>
      <c r="Q1" s="5" t="s">
        <v>85</v>
      </c>
      <c r="R1" s="5" t="s">
        <v>86</v>
      </c>
      <c r="S1" s="5" t="s">
        <v>92</v>
      </c>
      <c r="T1" s="5" t="s">
        <v>93</v>
      </c>
      <c r="U1" s="5" t="s">
        <v>94</v>
      </c>
      <c r="V1" s="5" t="s">
        <v>95</v>
      </c>
      <c r="W1" s="5" t="s">
        <v>91</v>
      </c>
      <c r="X1" s="5" t="s">
        <v>96</v>
      </c>
      <c r="Y1" s="5" t="s">
        <v>97</v>
      </c>
      <c r="Z1" s="5" t="s">
        <v>34</v>
      </c>
      <c r="AA1" s="5" t="s">
        <v>98</v>
      </c>
      <c r="AB1" s="5" t="s">
        <v>33</v>
      </c>
      <c r="AC1" s="5" t="s">
        <v>36</v>
      </c>
    </row>
    <row r="2" spans="1:29">
      <c r="A2" s="1"/>
      <c r="G2" s="2"/>
      <c r="H2" s="3"/>
      <c r="I2" s="3"/>
      <c r="K2" s="2"/>
      <c r="R2" s="4"/>
      <c r="S2" s="1"/>
      <c r="V2" s="1"/>
    </row>
  </sheetData>
  <dataValidations count="7">
    <dataValidation type="list" allowBlank="1" showInputMessage="1" showErrorMessage="1" sqref="E2" xr:uid="{62338C41-A871-495D-A27D-C958959FF83F}">
      <formula1>INDIRECT("tblAcquiredFrom")</formula1>
    </dataValidation>
    <dataValidation type="list" allowBlank="1" showInputMessage="1" showErrorMessage="1" sqref="J2" xr:uid="{B80A3E11-6211-412E-92C2-6F6E8ADD1AF7}">
      <formula1>INDIRECT("tblValueBasis")</formula1>
    </dataValidation>
    <dataValidation type="list" allowBlank="1" showInputMessage="1" showErrorMessage="1" sqref="M2" xr:uid="{3D028845-BB33-4077-82E4-C98DF1E8083D}">
      <formula1>INDIRECT("tblCondition")</formula1>
    </dataValidation>
    <dataValidation type="list" allowBlank="1" showInputMessage="1" showErrorMessage="1" sqref="N2" xr:uid="{002FB9CA-C543-416E-9506-E53F54200708}">
      <formula1>INDIRECT("tblStatus")</formula1>
    </dataValidation>
    <dataValidation type="list" allowBlank="1" showInputMessage="1" showErrorMessage="1" sqref="Z2" xr:uid="{E2C9B30F-DC50-4709-BD0A-ACC731338AAE}">
      <formula1>INDIRECT("tblBinding")</formula1>
    </dataValidation>
    <dataValidation type="list" allowBlank="1" showInputMessage="1" showErrorMessage="1" sqref="AB2" xr:uid="{FCEBAE5C-73B0-454F-8664-0577769B0675}">
      <formula1>INDIRECT("tblYesNo")</formula1>
    </dataValidation>
    <dataValidation type="list" allowBlank="1" showInputMessage="1" showErrorMessage="1" sqref="AC2" xr:uid="{732CC367-070E-4F35-8EE1-CA4ED166A8FD}">
      <formula1>INDIRECT("tblLookupStatus")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72DC9-3E78-47B2-A163-8F326C54EEBF}">
  <dimension ref="A1:Y2"/>
  <sheetViews>
    <sheetView workbookViewId="0"/>
  </sheetViews>
  <sheetFormatPr defaultRowHeight="13.5"/>
  <cols>
    <col min="1" max="1" width="12.5625" customWidth="1"/>
    <col min="2" max="2" width="36.5625" customWidth="1"/>
    <col min="3" max="3" width="12.5625" customWidth="1"/>
    <col min="4" max="4" width="36.5625" customWidth="1"/>
    <col min="5" max="5" width="22.5625" customWidth="1"/>
    <col min="6" max="6" width="36.5625" customWidth="1"/>
    <col min="7" max="7" width="17.5625" customWidth="1"/>
    <col min="8" max="8" width="18.5625" customWidth="1"/>
    <col min="9" max="9" width="19.5625" customWidth="1"/>
    <col min="10" max="10" width="15.5625" customWidth="1"/>
    <col min="11" max="11" width="14.5625" customWidth="1"/>
    <col min="12" max="12" width="12.5625" customWidth="1"/>
    <col min="13" max="13" width="13.5625" customWidth="1"/>
    <col min="14" max="15" width="12.5625" customWidth="1"/>
    <col min="16" max="16" width="36.5625" customWidth="1"/>
    <col min="17" max="17" width="15.5625" customWidth="1"/>
    <col min="18" max="18" width="16.5625" customWidth="1"/>
    <col min="19" max="19" width="18.5625" customWidth="1"/>
    <col min="20" max="20" width="12.5625" customWidth="1"/>
    <col min="21" max="21" width="17.5625" customWidth="1"/>
    <col min="22" max="23" width="12.5625" customWidth="1"/>
    <col min="24" max="24" width="26.5625" customWidth="1"/>
    <col min="25" max="25" width="12.5625" customWidth="1"/>
  </cols>
  <sheetData>
    <row r="1" spans="1:25">
      <c r="A1" s="5" t="s">
        <v>74</v>
      </c>
      <c r="B1" s="5" t="s">
        <v>0</v>
      </c>
      <c r="C1" s="5" t="s">
        <v>75</v>
      </c>
      <c r="D1" s="5" t="s">
        <v>76</v>
      </c>
      <c r="E1" s="5" t="s">
        <v>19</v>
      </c>
      <c r="F1" s="5" t="s">
        <v>77</v>
      </c>
      <c r="G1" s="5" t="s">
        <v>78</v>
      </c>
      <c r="H1" s="5" t="s">
        <v>79</v>
      </c>
      <c r="I1" s="5" t="s">
        <v>80</v>
      </c>
      <c r="J1" s="5" t="s">
        <v>21</v>
      </c>
      <c r="K1" s="5" t="s">
        <v>81</v>
      </c>
      <c r="L1" s="5" t="s">
        <v>82</v>
      </c>
      <c r="M1" s="5" t="s">
        <v>23</v>
      </c>
      <c r="N1" s="5" t="s">
        <v>25</v>
      </c>
      <c r="O1" s="5" t="s">
        <v>83</v>
      </c>
      <c r="P1" s="5" t="s">
        <v>84</v>
      </c>
      <c r="Q1" s="5" t="s">
        <v>85</v>
      </c>
      <c r="R1" s="5" t="s">
        <v>86</v>
      </c>
      <c r="S1" s="5" t="s">
        <v>99</v>
      </c>
      <c r="T1" s="5" t="s">
        <v>100</v>
      </c>
      <c r="U1" s="5" t="s">
        <v>101</v>
      </c>
      <c r="V1" s="5" t="s">
        <v>102</v>
      </c>
      <c r="W1" s="5" t="s">
        <v>103</v>
      </c>
      <c r="X1" s="5" t="s">
        <v>88</v>
      </c>
      <c r="Y1" s="5" t="s">
        <v>27</v>
      </c>
    </row>
    <row r="2" spans="1:25">
      <c r="A2" s="1"/>
      <c r="G2" s="2"/>
      <c r="H2" s="3"/>
      <c r="I2" s="3"/>
      <c r="K2" s="2"/>
      <c r="R2" s="4"/>
      <c r="U2" s="1"/>
    </row>
  </sheetData>
  <dataValidations count="5">
    <dataValidation type="list" allowBlank="1" showInputMessage="1" showErrorMessage="1" sqref="E2" xr:uid="{DF426C8E-6A49-49CE-AE29-2D1310201620}">
      <formula1>INDIRECT("tblAcquiredFrom")</formula1>
    </dataValidation>
    <dataValidation type="list" allowBlank="1" showInputMessage="1" showErrorMessage="1" sqref="J2" xr:uid="{15AC2C52-1930-4BA7-85F7-AC39274E19D8}">
      <formula1>INDIRECT("tblValueBasis")</formula1>
    </dataValidation>
    <dataValidation type="list" allowBlank="1" showInputMessage="1" showErrorMessage="1" sqref="M2" xr:uid="{7BE7B133-0004-4D03-98C4-50A06595F676}">
      <formula1>INDIRECT("tblCondition")</formula1>
    </dataValidation>
    <dataValidation type="list" allowBlank="1" showInputMessage="1" showErrorMessage="1" sqref="N2" xr:uid="{A99A25F1-DF42-4AC5-BA2C-23E5B075BF6F}">
      <formula1>INDIRECT("tblStatus")</formula1>
    </dataValidation>
    <dataValidation type="list" allowBlank="1" showInputMessage="1" showErrorMessage="1" sqref="Y2" xr:uid="{7EF3B9B5-6B3B-4497-8676-1C5420327225}">
      <formula1>INDIRECT("tblUnits")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12BBF-CD3D-4DCC-9000-A76814895124}">
  <dimension ref="A1:S2"/>
  <sheetViews>
    <sheetView workbookViewId="0"/>
  </sheetViews>
  <sheetFormatPr defaultRowHeight="13.5"/>
  <cols>
    <col min="1" max="1" width="12.5625" customWidth="1"/>
    <col min="2" max="2" width="36.5625" customWidth="1"/>
    <col min="3" max="3" width="12.5625" customWidth="1"/>
    <col min="4" max="4" width="36.5625" customWidth="1"/>
    <col min="5" max="5" width="22.5625" customWidth="1"/>
    <col min="6" max="6" width="36.5625" customWidth="1"/>
    <col min="7" max="7" width="17.5625" customWidth="1"/>
    <col min="8" max="8" width="18.5625" customWidth="1"/>
    <col min="9" max="9" width="19.5625" customWidth="1"/>
    <col min="10" max="10" width="15.5625" customWidth="1"/>
    <col min="11" max="11" width="14.5625" customWidth="1"/>
    <col min="12" max="12" width="12.5625" customWidth="1"/>
    <col min="13" max="13" width="13.5625" customWidth="1"/>
    <col min="14" max="15" width="12.5625" customWidth="1"/>
    <col min="16" max="16" width="36.5625" customWidth="1"/>
    <col min="17" max="17" width="15.5625" customWidth="1"/>
    <col min="18" max="18" width="16.5625" customWidth="1"/>
    <col min="19" max="19" width="22.5625" customWidth="1"/>
  </cols>
  <sheetData>
    <row r="1" spans="1:19">
      <c r="A1" s="5" t="s">
        <v>74</v>
      </c>
      <c r="B1" s="5" t="s">
        <v>0</v>
      </c>
      <c r="C1" s="5" t="s">
        <v>75</v>
      </c>
      <c r="D1" s="5" t="s">
        <v>76</v>
      </c>
      <c r="E1" s="5" t="s">
        <v>19</v>
      </c>
      <c r="F1" s="5" t="s">
        <v>77</v>
      </c>
      <c r="G1" s="5" t="s">
        <v>78</v>
      </c>
      <c r="H1" s="5" t="s">
        <v>79</v>
      </c>
      <c r="I1" s="5" t="s">
        <v>80</v>
      </c>
      <c r="J1" s="5" t="s">
        <v>21</v>
      </c>
      <c r="K1" s="5" t="s">
        <v>81</v>
      </c>
      <c r="L1" s="5" t="s">
        <v>82</v>
      </c>
      <c r="M1" s="5" t="s">
        <v>23</v>
      </c>
      <c r="N1" s="5" t="s">
        <v>25</v>
      </c>
      <c r="O1" s="5" t="s">
        <v>83</v>
      </c>
      <c r="P1" s="5" t="s">
        <v>84</v>
      </c>
      <c r="Q1" s="5" t="s">
        <v>85</v>
      </c>
      <c r="R1" s="5" t="s">
        <v>86</v>
      </c>
      <c r="S1" s="5" t="s">
        <v>38</v>
      </c>
    </row>
    <row r="2" spans="1:19">
      <c r="A2" s="1"/>
      <c r="G2" s="2"/>
      <c r="H2" s="3"/>
      <c r="I2" s="3"/>
      <c r="K2" s="2"/>
      <c r="R2" s="4"/>
    </row>
  </sheetData>
  <dataValidations count="5">
    <dataValidation type="list" allowBlank="1" showInputMessage="1" showErrorMessage="1" sqref="E2" xr:uid="{C56D2629-CC10-4F02-95B2-E847A39CDEA6}">
      <formula1>INDIRECT("tblAcquiredFrom")</formula1>
    </dataValidation>
    <dataValidation type="list" allowBlank="1" showInputMessage="1" showErrorMessage="1" sqref="J2" xr:uid="{B4251196-FCFB-4FE9-A498-EC0DEE7D5198}">
      <formula1>INDIRECT("tblValueBasis")</formula1>
    </dataValidation>
    <dataValidation type="list" allowBlank="1" showInputMessage="1" showErrorMessage="1" sqref="M2" xr:uid="{6A67BD45-D0B0-4B7D-A321-B047FB8D1798}">
      <formula1>INDIRECT("tblCondition")</formula1>
    </dataValidation>
    <dataValidation type="list" allowBlank="1" showInputMessage="1" showErrorMessage="1" sqref="N2" xr:uid="{B43CF9A4-5616-4AC3-8EFB-0EC0B3E88372}">
      <formula1>INDIRECT("tblStatus")</formula1>
    </dataValidation>
    <dataValidation type="list" allowBlank="1" showInputMessage="1" showErrorMessage="1" sqref="S2" xr:uid="{EFA985AA-105B-4628-9CCC-811850CFBF51}">
      <formula1>INDIRECT("tblCategories[Name]")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70BD4-4AFB-4BC3-A6D4-5B285596A6B8}">
  <dimension ref="A1:G1"/>
  <sheetViews>
    <sheetView workbookViewId="0"/>
  </sheetViews>
  <sheetFormatPr defaultRowHeight="13.5"/>
  <cols>
    <col min="1" max="7" width="22.5625" customWidth="1"/>
  </cols>
  <sheetData>
    <row r="1" spans="1:7">
      <c r="A1" t="s">
        <v>92</v>
      </c>
      <c r="B1" t="s">
        <v>104</v>
      </c>
      <c r="C1" t="s">
        <v>93</v>
      </c>
      <c r="D1" t="s">
        <v>94</v>
      </c>
      <c r="E1" t="s">
        <v>95</v>
      </c>
      <c r="F1" t="s">
        <v>97</v>
      </c>
      <c r="G1" t="s">
        <v>36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4766A-3AB6-4D41-A904-6D18DFEC1C8F}">
  <dimension ref="A1:E2"/>
  <sheetViews>
    <sheetView workbookViewId="0"/>
  </sheetViews>
  <sheetFormatPr defaultRowHeight="13.5"/>
  <cols>
    <col min="1" max="5" width="20.5625" customWidth="1"/>
  </cols>
  <sheetData>
    <row r="1" spans="1:5">
      <c r="A1" t="s">
        <v>74</v>
      </c>
      <c r="B1" t="s">
        <v>81</v>
      </c>
      <c r="C1" t="s">
        <v>80</v>
      </c>
      <c r="D1" t="s">
        <v>21</v>
      </c>
      <c r="E1" t="s">
        <v>84</v>
      </c>
    </row>
    <row r="2" spans="1:5">
      <c r="B2" s="2"/>
      <c r="C2" s="3"/>
    </row>
  </sheetData>
  <dataValidations count="1">
    <dataValidation type="list" allowBlank="1" showInputMessage="1" showErrorMessage="1" sqref="D2" xr:uid="{1757A768-6FA0-4A12-8F55-008F24A0E65D}">
      <formula1>INDIRECT("tblValueBasis")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E7872-1AC0-4FE8-84ED-3D9093A8F0E6}">
  <dimension ref="A1:X13"/>
  <sheetViews>
    <sheetView workbookViewId="0"/>
  </sheetViews>
  <sheetFormatPr defaultRowHeight="13.5"/>
  <cols>
    <col min="1" max="26" width="18.5625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17</v>
      </c>
      <c r="H1" t="s">
        <v>18</v>
      </c>
      <c r="J1" t="s">
        <v>19</v>
      </c>
      <c r="L1" t="s">
        <v>21</v>
      </c>
      <c r="N1" t="s">
        <v>23</v>
      </c>
      <c r="P1" t="s">
        <v>25</v>
      </c>
      <c r="R1" t="s">
        <v>27</v>
      </c>
      <c r="T1" t="s">
        <v>65</v>
      </c>
      <c r="V1" t="s">
        <v>34</v>
      </c>
      <c r="X1" t="s">
        <v>36</v>
      </c>
    </row>
    <row r="2" spans="1:24">
      <c r="A2" t="s">
        <v>5</v>
      </c>
      <c r="B2" t="s">
        <v>5</v>
      </c>
      <c r="C2" t="s">
        <v>6</v>
      </c>
      <c r="D2" t="s">
        <v>7</v>
      </c>
      <c r="E2" t="str" cm="1">
        <f t="array" aca="1" ref="E2" ca="1">_xlfn.LET(_xlpm.p,tblCategories[[#This Row],[Prefix]],_xlpm.ids,INDIRECT(tblCategories[[#This Row],[Table]]&amp;"[Item No]"),_xlpm.n,IFERROR(--SUBSTITUTE(_xlpm.ids,_xlpm.p&amp;"-",""),0),_xlpm.p&amp;"-"&amp;TEXT(MAX(_xlpm.n)+1,"0000"))</f>
        <v>ART-0001</v>
      </c>
      <c r="G2" t="s">
        <v>19</v>
      </c>
      <c r="H2" t="s">
        <v>20</v>
      </c>
      <c r="J2" t="s">
        <v>40</v>
      </c>
      <c r="L2" t="s">
        <v>50</v>
      </c>
      <c r="N2" t="s">
        <v>54</v>
      </c>
      <c r="P2" t="s">
        <v>58</v>
      </c>
      <c r="R2" t="s">
        <v>63</v>
      </c>
      <c r="T2" t="s">
        <v>66</v>
      </c>
      <c r="V2" t="s">
        <v>68</v>
      </c>
      <c r="X2" t="s">
        <v>48</v>
      </c>
    </row>
    <row r="3" spans="1:24">
      <c r="A3" t="s">
        <v>8</v>
      </c>
      <c r="B3" t="s">
        <v>8</v>
      </c>
      <c r="C3" t="s">
        <v>9</v>
      </c>
      <c r="D3" t="s">
        <v>10</v>
      </c>
      <c r="E3" t="str" cm="1">
        <f t="array" aca="1" ref="E3" ca="1">_xlfn.LET(_xlpm.p,tblCategories[[#This Row],[Prefix]],_xlpm.ids,INDIRECT(tblCategories[[#This Row],[Table]]&amp;"[Item No]"),_xlpm.n,IFERROR(--SUBSTITUTE(_xlpm.ids,_xlpm.p&amp;"-",""),0),_xlpm.p&amp;"-"&amp;TEXT(MAX(_xlpm.n)+1,"0000"))</f>
        <v>BK-0001</v>
      </c>
      <c r="G3" t="s">
        <v>21</v>
      </c>
      <c r="H3" t="s">
        <v>22</v>
      </c>
      <c r="J3" t="s">
        <v>41</v>
      </c>
      <c r="L3" t="s">
        <v>51</v>
      </c>
      <c r="N3" t="s">
        <v>55</v>
      </c>
      <c r="P3" t="s">
        <v>59</v>
      </c>
      <c r="R3" t="s">
        <v>64</v>
      </c>
      <c r="T3" t="s">
        <v>67</v>
      </c>
      <c r="V3" t="s">
        <v>69</v>
      </c>
      <c r="X3" t="s">
        <v>72</v>
      </c>
    </row>
    <row r="4" spans="1:24">
      <c r="A4" t="s">
        <v>11</v>
      </c>
      <c r="B4" t="s">
        <v>11</v>
      </c>
      <c r="C4" t="s">
        <v>12</v>
      </c>
      <c r="D4" t="s">
        <v>13</v>
      </c>
      <c r="E4" t="str" cm="1">
        <f t="array" aca="1" ref="E4" ca="1">_xlfn.LET(_xlpm.p,tblCategories[[#This Row],[Prefix]],_xlpm.ids,INDIRECT(tblCategories[[#This Row],[Table]]&amp;"[Item No]"),_xlpm.n,IFERROR(--SUBSTITUTE(_xlpm.ids,_xlpm.p&amp;"-",""),0),_xlpm.p&amp;"-"&amp;TEXT(MAX(_xlpm.n)+1,"0000"))</f>
        <v>ITM-0001</v>
      </c>
      <c r="G4" t="s">
        <v>23</v>
      </c>
      <c r="H4" t="s">
        <v>24</v>
      </c>
      <c r="J4" t="s">
        <v>42</v>
      </c>
      <c r="L4" t="s">
        <v>52</v>
      </c>
      <c r="N4" t="s">
        <v>56</v>
      </c>
      <c r="P4" t="s">
        <v>60</v>
      </c>
      <c r="V4" t="s">
        <v>70</v>
      </c>
      <c r="X4" t="s">
        <v>73</v>
      </c>
    </row>
    <row r="5" spans="1:24">
      <c r="A5" t="s">
        <v>14</v>
      </c>
      <c r="B5" t="s">
        <v>14</v>
      </c>
      <c r="C5" t="s">
        <v>15</v>
      </c>
      <c r="D5" t="s">
        <v>16</v>
      </c>
      <c r="E5" t="str" cm="1">
        <f t="array" aca="1" ref="E5" ca="1">_xlfn.LET(_xlpm.p,tblCategories[[#This Row],[Prefix]],_xlpm.ids,INDIRECT(tblCategories[[#This Row],[Table]]&amp;"[Item No]"),_xlpm.n,IFERROR(--SUBSTITUTE(_xlpm.ids,_xlpm.p&amp;"-",""),0),_xlpm.p&amp;"-"&amp;TEXT(MAX(_xlpm.n)+1,"0000"))</f>
        <v>MSC-0001</v>
      </c>
      <c r="G5" t="s">
        <v>25</v>
      </c>
      <c r="H5" t="s">
        <v>26</v>
      </c>
      <c r="J5" t="s">
        <v>43</v>
      </c>
      <c r="L5" t="s">
        <v>53</v>
      </c>
      <c r="N5" t="s">
        <v>57</v>
      </c>
      <c r="P5" t="s">
        <v>61</v>
      </c>
      <c r="V5" t="s">
        <v>71</v>
      </c>
    </row>
    <row r="6" spans="1:24">
      <c r="G6" t="s">
        <v>27</v>
      </c>
      <c r="H6" t="s">
        <v>28</v>
      </c>
      <c r="J6" t="s">
        <v>44</v>
      </c>
      <c r="P6" t="s">
        <v>62</v>
      </c>
      <c r="V6" t="s">
        <v>49</v>
      </c>
    </row>
    <row r="7" spans="1:24">
      <c r="G7" t="s">
        <v>29</v>
      </c>
      <c r="H7" t="s">
        <v>30</v>
      </c>
      <c r="J7" t="s">
        <v>45</v>
      </c>
    </row>
    <row r="8" spans="1:24">
      <c r="G8" t="s">
        <v>31</v>
      </c>
      <c r="H8" t="s">
        <v>30</v>
      </c>
      <c r="J8" t="s">
        <v>46</v>
      </c>
    </row>
    <row r="9" spans="1:24">
      <c r="G9" t="s">
        <v>32</v>
      </c>
      <c r="H9" t="s">
        <v>30</v>
      </c>
      <c r="J9" t="s">
        <v>47</v>
      </c>
    </row>
    <row r="10" spans="1:24">
      <c r="G10" t="s">
        <v>33</v>
      </c>
      <c r="H10" t="s">
        <v>30</v>
      </c>
      <c r="J10" t="s">
        <v>48</v>
      </c>
    </row>
    <row r="11" spans="1:24">
      <c r="G11" t="s">
        <v>34</v>
      </c>
      <c r="H11" t="s">
        <v>35</v>
      </c>
      <c r="J11" t="s">
        <v>49</v>
      </c>
    </row>
    <row r="12" spans="1:24">
      <c r="G12" t="s">
        <v>36</v>
      </c>
      <c r="H12" t="s">
        <v>37</v>
      </c>
    </row>
    <row r="13" spans="1:24">
      <c r="G13" t="s">
        <v>38</v>
      </c>
      <c r="H13" t="s">
        <v>39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05FC2-1FA4-4E55-990D-9EB8831FE41A}">
  <dimension ref="A1:R2"/>
  <sheetViews>
    <sheetView workbookViewId="0"/>
  </sheetViews>
  <sheetFormatPr defaultRowHeight="13.5"/>
  <cols>
    <col min="1" max="1" width="12.5625" customWidth="1"/>
    <col min="2" max="2" width="36.5625" customWidth="1"/>
    <col min="3" max="3" width="12.5625" customWidth="1"/>
    <col min="4" max="4" width="36.5625" customWidth="1"/>
    <col min="5" max="5" width="22.5625" customWidth="1"/>
    <col min="6" max="6" width="36.5625" customWidth="1"/>
    <col min="7" max="7" width="17.5625" customWidth="1"/>
    <col min="8" max="8" width="18.5625" customWidth="1"/>
    <col min="9" max="9" width="19.5625" customWidth="1"/>
    <col min="10" max="10" width="15.5625" customWidth="1"/>
    <col min="11" max="11" width="14.5625" customWidth="1"/>
    <col min="12" max="12" width="12.5625" customWidth="1"/>
    <col min="13" max="13" width="13.5625" customWidth="1"/>
    <col min="14" max="15" width="12.5625" customWidth="1"/>
    <col min="16" max="16" width="36.5625" customWidth="1"/>
    <col min="17" max="17" width="15.5625" customWidth="1"/>
    <col min="18" max="18" width="16.5625" customWidth="1"/>
  </cols>
  <sheetData>
    <row r="1" spans="1:18">
      <c r="A1" s="5" t="s">
        <v>74</v>
      </c>
      <c r="B1" s="5" t="s">
        <v>0</v>
      </c>
      <c r="C1" s="5" t="s">
        <v>75</v>
      </c>
      <c r="D1" s="5" t="s">
        <v>76</v>
      </c>
      <c r="E1" s="5" t="s">
        <v>19</v>
      </c>
      <c r="F1" s="5" t="s">
        <v>77</v>
      </c>
      <c r="G1" s="5" t="s">
        <v>78</v>
      </c>
      <c r="H1" s="5" t="s">
        <v>79</v>
      </c>
      <c r="I1" s="5" t="s">
        <v>80</v>
      </c>
      <c r="J1" s="5" t="s">
        <v>21</v>
      </c>
      <c r="K1" s="5" t="s">
        <v>81</v>
      </c>
      <c r="L1" s="5" t="s">
        <v>82</v>
      </c>
      <c r="M1" s="5" t="s">
        <v>23</v>
      </c>
      <c r="N1" s="5" t="s">
        <v>25</v>
      </c>
      <c r="O1" s="5" t="s">
        <v>83</v>
      </c>
      <c r="P1" s="5" t="s">
        <v>84</v>
      </c>
      <c r="Q1" s="5" t="s">
        <v>85</v>
      </c>
      <c r="R1" s="5" t="s">
        <v>86</v>
      </c>
    </row>
    <row r="2" spans="1:18">
      <c r="A2" s="1"/>
      <c r="G2" s="2"/>
      <c r="H2" s="3"/>
      <c r="I2" s="3"/>
      <c r="K2" s="2"/>
      <c r="R2" s="4"/>
    </row>
  </sheetData>
  <dataValidations count="4">
    <dataValidation type="list" allowBlank="1" showInputMessage="1" showErrorMessage="1" sqref="E2" xr:uid="{7052A5A2-75C0-465F-95F0-90694BF00833}">
      <formula1>INDIRECT("tblAcquiredFrom")</formula1>
    </dataValidation>
    <dataValidation type="list" allowBlank="1" showInputMessage="1" showErrorMessage="1" sqref="J2" xr:uid="{0423C86F-8111-45A5-9759-79444055C6E0}">
      <formula1>INDIRECT("tblValueBasis")</formula1>
    </dataValidation>
    <dataValidation type="list" allowBlank="1" showInputMessage="1" showErrorMessage="1" sqref="M2" xr:uid="{C28AD918-BDB8-49CC-B401-2EC3266DAEB4}">
      <formula1>INDIRECT("tblCondition")</formula1>
    </dataValidation>
    <dataValidation type="list" allowBlank="1" showInputMessage="1" showErrorMessage="1" sqref="N2" xr:uid="{226A371E-241B-43A5-9625-E8FBAB993A1A}">
      <formula1>INDIRECT("tblStatus")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F07815-C953-4455-BCAD-FEC38B3B07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How-to</vt:lpstr>
      <vt:lpstr>Search</vt:lpstr>
      <vt:lpstr>Art</vt:lpstr>
      <vt:lpstr>Books</vt:lpstr>
      <vt:lpstr>Items</vt:lpstr>
      <vt:lpstr>Misc</vt:lpstr>
      <vt:lpstr>ISBN Lookup</vt:lpstr>
      <vt:lpstr>Valuations</vt:lpstr>
      <vt:lpstr>Lists</vt:lpstr>
      <vt:lpstr>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2026-10-27T20:14:23Z</dcterms:created>
  <dcterms:modified xsi:type="dcterms:W3CDTF">2026-10-27T20:14:27Z</dcterms:modified>
</cp:coreProperties>
</file>